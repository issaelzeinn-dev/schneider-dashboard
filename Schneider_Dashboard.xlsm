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2"/>
  <workbookPr/>
  <mc:AlternateContent xmlns:mc="http://schemas.openxmlformats.org/markup-compatibility/2006">
    <mc:Choice Requires="x15">
      <x15ac:absPath xmlns:x15ac="http://schemas.microsoft.com/office/spreadsheetml/2010/11/ac" url="https://edheccom-my.sharepoint.com/personal/issa_elzein_edhec_com/Documents/EDHEC/3A/Cours 3A/Financial Diagnosis/Financial Diagnosis - Dashboard/"/>
    </mc:Choice>
  </mc:AlternateContent>
  <xr:revisionPtr revIDLastSave="0" documentId="8_{172548B6-8E84-4E44-BCD5-4AF57B778D15}" xr6:coauthVersionLast="47" xr6:coauthVersionMax="47" xr10:uidLastSave="{00000000-0000-0000-0000-000000000000}"/>
  <bookViews>
    <workbookView xWindow="0" yWindow="660" windowWidth="29400" windowHeight="16820" activeTab="3" xr2:uid="{00000000-000D-0000-FFFF-FFFF00000000}"/>
  </bookViews>
  <sheets>
    <sheet name="Balance Sheet" sheetId="1" r:id="rId1"/>
    <sheet name="Income Statement" sheetId="2" r:id="rId2"/>
    <sheet name="Cash Flow Statement" sheetId="3" r:id="rId3"/>
    <sheet name="Ratios" sheetId="4"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1" l="1"/>
  <c r="K8" i="1"/>
  <c r="K16" i="1"/>
  <c r="H16" i="1"/>
  <c r="N16" i="1"/>
  <c r="N21" i="1"/>
  <c r="N8" i="1"/>
  <c r="K21" i="1"/>
  <c r="H8" i="1"/>
  <c r="H21" i="1"/>
  <c r="E21" i="1"/>
  <c r="E8" i="1"/>
  <c r="J12" i="1"/>
  <c r="F12" i="2"/>
  <c r="M12" i="2"/>
  <c r="J12" i="2"/>
  <c r="E12" i="2"/>
  <c r="D12" i="2"/>
  <c r="C12" i="2"/>
  <c r="V11" i="4" s="1"/>
  <c r="W11" i="4"/>
  <c r="X11" i="4"/>
  <c r="Y11" i="4"/>
  <c r="Z11" i="4"/>
  <c r="AA11" i="4"/>
  <c r="S12" i="2"/>
  <c r="Q12" i="2"/>
  <c r="P12" i="2"/>
  <c r="N12" i="2"/>
  <c r="K12" i="2"/>
  <c r="H12" i="2"/>
  <c r="G12" i="2"/>
  <c r="R12" i="2"/>
  <c r="O12" i="2"/>
  <c r="L12" i="2"/>
  <c r="I12" i="2"/>
  <c r="AD23" i="1"/>
  <c r="E43" i="4"/>
  <c r="F43" i="4"/>
  <c r="N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C43" i="4" s="1"/>
  <c r="M68" i="4"/>
  <c r="M69" i="4"/>
  <c r="M70" i="4"/>
  <c r="M71" i="4"/>
  <c r="M72" i="4"/>
  <c r="M73" i="4"/>
  <c r="M74" i="4"/>
  <c r="M75" i="4"/>
  <c r="M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H43" i="4" s="1"/>
  <c r="R68" i="4"/>
  <c r="R69" i="4"/>
  <c r="R70" i="4"/>
  <c r="R71" i="4"/>
  <c r="R72" i="4"/>
  <c r="R73" i="4"/>
  <c r="R74" i="4"/>
  <c r="R75"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G43" i="4" s="1"/>
  <c r="Q68" i="4"/>
  <c r="Q69" i="4"/>
  <c r="Q70" i="4"/>
  <c r="Q71" i="4"/>
  <c r="Q72" i="4"/>
  <c r="Q73" i="4"/>
  <c r="Q74" i="4"/>
  <c r="Q75"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D43" i="4" s="1"/>
  <c r="N68" i="4"/>
  <c r="N69" i="4"/>
  <c r="N70" i="4"/>
  <c r="N71" i="4"/>
  <c r="N72" i="4"/>
  <c r="N73" i="4"/>
  <c r="N74" i="4"/>
  <c r="N75" i="4"/>
  <c r="R32" i="4"/>
  <c r="Q32" i="4"/>
  <c r="P32" i="4"/>
  <c r="O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32" i="4"/>
  <c r="M3" i="4"/>
  <c r="M4" i="4"/>
  <c r="M5" i="4"/>
  <c r="M6" i="4"/>
  <c r="M7" i="4"/>
  <c r="M8" i="4"/>
  <c r="M9" i="4"/>
  <c r="M10" i="4"/>
  <c r="M11" i="4"/>
  <c r="M12" i="4"/>
  <c r="M13" i="4"/>
  <c r="M14" i="4"/>
  <c r="M15" i="4"/>
  <c r="M16" i="4"/>
  <c r="M17" i="4"/>
  <c r="M18" i="4"/>
  <c r="M19" i="4"/>
  <c r="M20" i="4"/>
  <c r="M21" i="4"/>
  <c r="M22" i="4"/>
  <c r="M23" i="4"/>
  <c r="M24" i="4"/>
  <c r="M25" i="4"/>
  <c r="M2" i="4"/>
  <c r="H41" i="2"/>
  <c r="G41" i="2"/>
  <c r="F41" i="2"/>
  <c r="X3" i="4"/>
  <c r="Y3" i="4"/>
  <c r="Z3" i="4"/>
  <c r="AA3" i="4"/>
  <c r="X4" i="4"/>
  <c r="Y4" i="4"/>
  <c r="Z4" i="4"/>
  <c r="AA4" i="4"/>
  <c r="X5" i="4"/>
  <c r="Y5" i="4"/>
  <c r="Z5" i="4"/>
  <c r="AA5" i="4"/>
  <c r="X6" i="4"/>
  <c r="Y6" i="4"/>
  <c r="Z6" i="4"/>
  <c r="AA6" i="4"/>
  <c r="X7" i="4"/>
  <c r="Y7" i="4"/>
  <c r="Z7" i="4"/>
  <c r="AA7" i="4"/>
  <c r="X8" i="4"/>
  <c r="Y8" i="4"/>
  <c r="Z8" i="4"/>
  <c r="AA8" i="4"/>
  <c r="X9" i="4"/>
  <c r="Y9" i="4"/>
  <c r="Z9" i="4"/>
  <c r="AA9" i="4"/>
  <c r="X10" i="4"/>
  <c r="Y10" i="4"/>
  <c r="Z10" i="4"/>
  <c r="AA10" i="4"/>
  <c r="X12" i="4"/>
  <c r="Y12" i="4"/>
  <c r="Z12" i="4"/>
  <c r="AA12" i="4"/>
  <c r="X13" i="4"/>
  <c r="Y13" i="4"/>
  <c r="Z13" i="4"/>
  <c r="AA13" i="4"/>
  <c r="X14" i="4"/>
  <c r="Y14" i="4"/>
  <c r="Z14" i="4"/>
  <c r="AA14" i="4"/>
  <c r="X15" i="4"/>
  <c r="Y15" i="4"/>
  <c r="Z15" i="4"/>
  <c r="AA15" i="4"/>
  <c r="X16" i="4"/>
  <c r="Y16" i="4"/>
  <c r="Z16" i="4"/>
  <c r="AA16" i="4"/>
  <c r="X17" i="4"/>
  <c r="Y17" i="4"/>
  <c r="Z17" i="4"/>
  <c r="AA17" i="4"/>
  <c r="X18" i="4"/>
  <c r="Y18" i="4"/>
  <c r="Z18" i="4"/>
  <c r="AA18" i="4"/>
  <c r="X19" i="4"/>
  <c r="Y19" i="4"/>
  <c r="Z19" i="4"/>
  <c r="AA19" i="4"/>
  <c r="X20" i="4"/>
  <c r="X29" i="4" s="1"/>
  <c r="Y20" i="4"/>
  <c r="Y29" i="4" s="1"/>
  <c r="Z20" i="4"/>
  <c r="Z29" i="4" s="1"/>
  <c r="AA20" i="4"/>
  <c r="AA29" i="4" s="1"/>
  <c r="X21" i="4"/>
  <c r="Y21" i="4"/>
  <c r="Z21" i="4"/>
  <c r="AA21" i="4"/>
  <c r="X22" i="4"/>
  <c r="Y22" i="4"/>
  <c r="Z22" i="4"/>
  <c r="AA22" i="4"/>
  <c r="X23" i="4"/>
  <c r="Y23" i="4"/>
  <c r="Z23" i="4"/>
  <c r="AA23" i="4"/>
  <c r="X24" i="4"/>
  <c r="Y24" i="4"/>
  <c r="Z24" i="4"/>
  <c r="AA24" i="4"/>
  <c r="X25" i="4"/>
  <c r="Y25" i="4"/>
  <c r="Z25" i="4"/>
  <c r="AA25" i="4"/>
  <c r="X26" i="4"/>
  <c r="Y26" i="4"/>
  <c r="Z26" i="4"/>
  <c r="AA26" i="4"/>
  <c r="X27" i="4"/>
  <c r="Y27" i="4"/>
  <c r="Z27" i="4"/>
  <c r="AA27" i="4"/>
  <c r="AA2" i="4"/>
  <c r="Z2" i="4"/>
  <c r="Y2" i="4"/>
  <c r="X2" i="4"/>
  <c r="W5" i="4"/>
  <c r="W6" i="4"/>
  <c r="W7" i="4"/>
  <c r="W8" i="4"/>
  <c r="W9" i="4"/>
  <c r="W10" i="4"/>
  <c r="W12" i="4"/>
  <c r="W13" i="4"/>
  <c r="W14" i="4"/>
  <c r="W15" i="4"/>
  <c r="W16" i="4"/>
  <c r="W17" i="4"/>
  <c r="W18" i="4"/>
  <c r="W19" i="4"/>
  <c r="W20" i="4"/>
  <c r="W29" i="4" s="1"/>
  <c r="D40" i="4" s="1"/>
  <c r="W21" i="4"/>
  <c r="W22" i="4"/>
  <c r="W23" i="4"/>
  <c r="W24" i="4"/>
  <c r="W25" i="4"/>
  <c r="W26" i="4"/>
  <c r="W27" i="4"/>
  <c r="W4" i="4"/>
  <c r="W3" i="4"/>
  <c r="W2" i="4"/>
  <c r="V3" i="4"/>
  <c r="V4" i="4"/>
  <c r="V5" i="4"/>
  <c r="V6" i="4"/>
  <c r="V7" i="4"/>
  <c r="V8" i="4"/>
  <c r="V9" i="4"/>
  <c r="V10" i="4"/>
  <c r="V12" i="4"/>
  <c r="V13" i="4"/>
  <c r="V14" i="4"/>
  <c r="V15" i="4"/>
  <c r="V16" i="4"/>
  <c r="V17" i="4"/>
  <c r="V18" i="4"/>
  <c r="V19" i="4"/>
  <c r="V20" i="4"/>
  <c r="V29" i="4" s="1"/>
  <c r="C40" i="4" s="1"/>
  <c r="V21" i="4"/>
  <c r="V22" i="4"/>
  <c r="V23" i="4"/>
  <c r="V24" i="4"/>
  <c r="V25" i="4"/>
  <c r="V26" i="4"/>
  <c r="V27" i="4"/>
  <c r="V2" i="4"/>
  <c r="E37" i="2"/>
  <c r="F37" i="2"/>
  <c r="G37" i="2"/>
  <c r="H37" i="2"/>
  <c r="E39" i="2"/>
  <c r="F39" i="2"/>
  <c r="G39" i="2"/>
  <c r="H39" i="2"/>
  <c r="E41" i="2"/>
  <c r="D39" i="2"/>
  <c r="D41" i="2"/>
  <c r="E36" i="2"/>
  <c r="F36" i="2"/>
  <c r="G36" i="2"/>
  <c r="H36" i="2"/>
  <c r="E34" i="2"/>
  <c r="F34" i="2"/>
  <c r="G34" i="2"/>
  <c r="H34" i="2"/>
  <c r="D33" i="2"/>
  <c r="E33" i="2"/>
  <c r="E35" i="2" s="1"/>
  <c r="E38" i="2" s="1"/>
  <c r="E40" i="2" s="1"/>
  <c r="E42" i="2" s="1"/>
  <c r="F33" i="2"/>
  <c r="F35" i="2" s="1"/>
  <c r="F38" i="2" s="1"/>
  <c r="F40" i="2" s="1"/>
  <c r="G33" i="2"/>
  <c r="G35" i="2" s="1"/>
  <c r="G38" i="2" s="1"/>
  <c r="G40" i="2" s="1"/>
  <c r="G42" i="2" s="1"/>
  <c r="H33" i="2"/>
  <c r="H35" i="2" s="1"/>
  <c r="H38" i="2" s="1"/>
  <c r="H40" i="2" s="1"/>
  <c r="H42" i="2" s="1"/>
  <c r="R3" i="4"/>
  <c r="R4" i="4"/>
  <c r="R6" i="4"/>
  <c r="H17" i="4" s="1"/>
  <c r="R7" i="4"/>
  <c r="H16" i="4" s="1"/>
  <c r="R8" i="4"/>
  <c r="R9" i="4"/>
  <c r="R12" i="4"/>
  <c r="R13" i="4"/>
  <c r="R14" i="4"/>
  <c r="R15" i="4"/>
  <c r="R17" i="4"/>
  <c r="R18" i="4"/>
  <c r="R20" i="4"/>
  <c r="H18" i="4" s="1"/>
  <c r="R21" i="4"/>
  <c r="R22" i="4"/>
  <c r="R23" i="4"/>
  <c r="R2" i="4"/>
  <c r="Q3" i="4"/>
  <c r="G21" i="4" s="1"/>
  <c r="Q4" i="4"/>
  <c r="Q6" i="4"/>
  <c r="G17" i="4" s="1"/>
  <c r="Q7" i="4"/>
  <c r="G16" i="4" s="1"/>
  <c r="Q8" i="4"/>
  <c r="Q9" i="4"/>
  <c r="Q12" i="4"/>
  <c r="Q13" i="4"/>
  <c r="Q14" i="4"/>
  <c r="Q15" i="4"/>
  <c r="Q17" i="4"/>
  <c r="Q18" i="4"/>
  <c r="Q20" i="4"/>
  <c r="G18" i="4" s="1"/>
  <c r="Q21" i="4"/>
  <c r="Q22" i="4"/>
  <c r="Q23" i="4"/>
  <c r="Q2" i="4"/>
  <c r="P3" i="4"/>
  <c r="F21" i="4" s="1"/>
  <c r="P4" i="4"/>
  <c r="P6" i="4"/>
  <c r="F17" i="4" s="1"/>
  <c r="P7" i="4"/>
  <c r="F16" i="4" s="1"/>
  <c r="P8" i="4"/>
  <c r="P9" i="4"/>
  <c r="P12" i="4"/>
  <c r="P13" i="4"/>
  <c r="P14" i="4"/>
  <c r="P15" i="4"/>
  <c r="P17" i="4"/>
  <c r="P18" i="4"/>
  <c r="P20" i="4"/>
  <c r="F18" i="4" s="1"/>
  <c r="P21" i="4"/>
  <c r="P22" i="4"/>
  <c r="P23" i="4"/>
  <c r="P2" i="4"/>
  <c r="O3" i="4"/>
  <c r="E21" i="4" s="1"/>
  <c r="O4" i="4"/>
  <c r="O6" i="4"/>
  <c r="O7" i="4"/>
  <c r="E16" i="4" s="1"/>
  <c r="O8" i="4"/>
  <c r="O9" i="4"/>
  <c r="O12" i="4"/>
  <c r="O13" i="4"/>
  <c r="O14" i="4"/>
  <c r="O15" i="4"/>
  <c r="O17" i="4"/>
  <c r="O18" i="4"/>
  <c r="O20" i="4"/>
  <c r="O21" i="4"/>
  <c r="O22" i="4"/>
  <c r="O23" i="4"/>
  <c r="O2" i="4"/>
  <c r="N3" i="4"/>
  <c r="D21" i="4" s="1"/>
  <c r="N4" i="4"/>
  <c r="N6" i="4"/>
  <c r="N7" i="4"/>
  <c r="D16" i="4" s="1"/>
  <c r="N8" i="4"/>
  <c r="N9" i="4"/>
  <c r="N12" i="4"/>
  <c r="N14" i="4"/>
  <c r="N15" i="4"/>
  <c r="N17" i="4"/>
  <c r="N18" i="4"/>
  <c r="N20" i="4"/>
  <c r="N21" i="4"/>
  <c r="N22" i="4"/>
  <c r="N23" i="4"/>
  <c r="N2" i="4"/>
  <c r="L3" i="4"/>
  <c r="L4" i="4"/>
  <c r="L5" i="4"/>
  <c r="L6" i="4"/>
  <c r="L7" i="4"/>
  <c r="L8" i="4"/>
  <c r="L9" i="4"/>
  <c r="L10" i="4"/>
  <c r="L11" i="4"/>
  <c r="L12" i="4"/>
  <c r="L13" i="4"/>
  <c r="L14" i="4"/>
  <c r="L15" i="4"/>
  <c r="L16" i="4"/>
  <c r="L17" i="4"/>
  <c r="L18" i="4"/>
  <c r="L19" i="4"/>
  <c r="L20" i="4"/>
  <c r="L21" i="4"/>
  <c r="L22" i="4"/>
  <c r="L23" i="4"/>
  <c r="L24" i="4"/>
  <c r="L25" i="4"/>
  <c r="L2" i="4"/>
  <c r="D14" i="1"/>
  <c r="I53" i="3"/>
  <c r="M54" i="3"/>
  <c r="K54" i="3"/>
  <c r="L54" i="3" s="1"/>
  <c r="I54" i="3"/>
  <c r="D37" i="2"/>
  <c r="D36" i="2"/>
  <c r="D34" i="2"/>
  <c r="G23" i="2"/>
  <c r="G27" i="2"/>
  <c r="E54" i="3"/>
  <c r="F54" i="3" s="1"/>
  <c r="I58" i="3"/>
  <c r="I57" i="3"/>
  <c r="I56" i="3"/>
  <c r="I55" i="3"/>
  <c r="G53" i="3"/>
  <c r="K53" i="3"/>
  <c r="M53" i="3"/>
  <c r="G54" i="3"/>
  <c r="H54" i="3" s="1"/>
  <c r="G55" i="3"/>
  <c r="K55" i="3"/>
  <c r="M55" i="3"/>
  <c r="G56" i="3"/>
  <c r="K56" i="3"/>
  <c r="L56" i="3" s="1"/>
  <c r="M56" i="3"/>
  <c r="G57" i="3"/>
  <c r="K57" i="3"/>
  <c r="M57" i="3"/>
  <c r="G58" i="3"/>
  <c r="K58" i="3"/>
  <c r="M58" i="3"/>
  <c r="E58" i="3"/>
  <c r="F58" i="3" s="1"/>
  <c r="E57" i="3"/>
  <c r="F57" i="3" s="1"/>
  <c r="E56" i="3"/>
  <c r="F56" i="3" s="1"/>
  <c r="E55" i="3"/>
  <c r="F55" i="3" s="1"/>
  <c r="E53" i="3"/>
  <c r="J30" i="3"/>
  <c r="H30" i="3"/>
  <c r="J41" i="3"/>
  <c r="F34" i="3"/>
  <c r="F30" i="3"/>
  <c r="F13" i="3"/>
  <c r="F11" i="3"/>
  <c r="F4" i="3"/>
  <c r="L3" i="3"/>
  <c r="L5" i="3"/>
  <c r="L6" i="3"/>
  <c r="L7" i="3"/>
  <c r="L8" i="3"/>
  <c r="L9" i="3"/>
  <c r="L10" i="3"/>
  <c r="L12" i="3"/>
  <c r="L14" i="3"/>
  <c r="L15" i="3"/>
  <c r="L16" i="3"/>
  <c r="L17" i="3"/>
  <c r="L18" i="3"/>
  <c r="L19" i="3"/>
  <c r="L20" i="3"/>
  <c r="L21" i="3"/>
  <c r="L22" i="3"/>
  <c r="L23" i="3"/>
  <c r="L24" i="3"/>
  <c r="L25" i="3"/>
  <c r="L26" i="3"/>
  <c r="L27" i="3"/>
  <c r="L28" i="3"/>
  <c r="L29" i="3"/>
  <c r="L31" i="3"/>
  <c r="L32" i="3"/>
  <c r="L33" i="3"/>
  <c r="L35" i="3"/>
  <c r="L36" i="3"/>
  <c r="L37" i="3"/>
  <c r="L38" i="3"/>
  <c r="L39" i="3"/>
  <c r="L40" i="3"/>
  <c r="L42" i="3"/>
  <c r="L43" i="3"/>
  <c r="L44" i="3"/>
  <c r="L45" i="3"/>
  <c r="J3" i="3"/>
  <c r="J5" i="3"/>
  <c r="J6" i="3"/>
  <c r="J7" i="3"/>
  <c r="J8" i="3"/>
  <c r="J9" i="3"/>
  <c r="J10" i="3"/>
  <c r="J12" i="3"/>
  <c r="J14" i="3"/>
  <c r="J15" i="3"/>
  <c r="J16" i="3"/>
  <c r="J17" i="3"/>
  <c r="J18" i="3"/>
  <c r="J19" i="3"/>
  <c r="J20" i="3"/>
  <c r="J21" i="3"/>
  <c r="J22" i="3"/>
  <c r="J23" i="3"/>
  <c r="J24" i="3"/>
  <c r="J25" i="3"/>
  <c r="J26" i="3"/>
  <c r="J27" i="3"/>
  <c r="J28" i="3"/>
  <c r="J29" i="3"/>
  <c r="J31" i="3"/>
  <c r="J32" i="3"/>
  <c r="J33" i="3"/>
  <c r="J35" i="3"/>
  <c r="J36" i="3"/>
  <c r="J37" i="3"/>
  <c r="J38" i="3"/>
  <c r="J39" i="3"/>
  <c r="J40" i="3"/>
  <c r="J42" i="3"/>
  <c r="J43" i="3"/>
  <c r="J44" i="3"/>
  <c r="J45" i="3"/>
  <c r="L2" i="3"/>
  <c r="H2" i="3"/>
  <c r="J2" i="3"/>
  <c r="H3" i="3"/>
  <c r="H6" i="3"/>
  <c r="H7" i="3"/>
  <c r="H8" i="3"/>
  <c r="H9" i="3"/>
  <c r="H10" i="3"/>
  <c r="H12" i="3"/>
  <c r="H14" i="3"/>
  <c r="H15" i="3"/>
  <c r="H16" i="3"/>
  <c r="H17" i="3"/>
  <c r="H18" i="3"/>
  <c r="H19" i="3"/>
  <c r="H20" i="3"/>
  <c r="H21" i="3"/>
  <c r="H22" i="3"/>
  <c r="H23" i="3"/>
  <c r="H24" i="3"/>
  <c r="H25" i="3"/>
  <c r="H26" i="3"/>
  <c r="H27" i="3"/>
  <c r="H28" i="3"/>
  <c r="H29" i="3"/>
  <c r="H31" i="3"/>
  <c r="H32" i="3"/>
  <c r="H33" i="3"/>
  <c r="H35" i="3"/>
  <c r="H36" i="3"/>
  <c r="H37" i="3"/>
  <c r="H38" i="3"/>
  <c r="H39" i="3"/>
  <c r="H40" i="3"/>
  <c r="H42" i="3"/>
  <c r="H43" i="3"/>
  <c r="H44" i="3"/>
  <c r="H45" i="3"/>
  <c r="F3" i="3"/>
  <c r="F6" i="3"/>
  <c r="F7" i="3"/>
  <c r="F8" i="3"/>
  <c r="F9" i="3"/>
  <c r="F10" i="3"/>
  <c r="F12" i="3"/>
  <c r="F14" i="3"/>
  <c r="F15" i="3"/>
  <c r="F16" i="3"/>
  <c r="F17" i="3"/>
  <c r="F18" i="3"/>
  <c r="F19" i="3"/>
  <c r="F20" i="3"/>
  <c r="F21" i="3"/>
  <c r="F22" i="3"/>
  <c r="F23" i="3"/>
  <c r="F24" i="3"/>
  <c r="F25" i="3"/>
  <c r="F26" i="3"/>
  <c r="F27" i="3"/>
  <c r="F28" i="3"/>
  <c r="F29" i="3"/>
  <c r="F31" i="3"/>
  <c r="F32" i="3"/>
  <c r="F33" i="3"/>
  <c r="F35" i="3"/>
  <c r="F36" i="3"/>
  <c r="F37" i="3"/>
  <c r="F38" i="3"/>
  <c r="F39" i="3"/>
  <c r="F40" i="3"/>
  <c r="F42" i="3"/>
  <c r="F43" i="3"/>
  <c r="F44" i="3"/>
  <c r="F45" i="3"/>
  <c r="F2" i="3"/>
  <c r="B39" i="2"/>
  <c r="B36" i="2"/>
  <c r="S4" i="2"/>
  <c r="S5" i="2"/>
  <c r="S6" i="2"/>
  <c r="S7" i="2"/>
  <c r="S8" i="2"/>
  <c r="S9" i="2"/>
  <c r="S10" i="2"/>
  <c r="S11" i="2"/>
  <c r="S13" i="2"/>
  <c r="S14" i="2"/>
  <c r="S15" i="2"/>
  <c r="S16" i="2"/>
  <c r="S17" i="2"/>
  <c r="S18" i="2"/>
  <c r="S19" i="2"/>
  <c r="S20" i="2"/>
  <c r="S21" i="2"/>
  <c r="S22" i="2"/>
  <c r="S24" i="2"/>
  <c r="S25" i="2"/>
  <c r="S26" i="2"/>
  <c r="S27" i="2"/>
  <c r="S28" i="2"/>
  <c r="S3" i="2"/>
  <c r="Q4" i="2"/>
  <c r="Q5" i="2"/>
  <c r="Q6" i="2"/>
  <c r="Q7" i="2"/>
  <c r="Q8" i="2"/>
  <c r="Q9" i="2"/>
  <c r="Q10" i="2"/>
  <c r="Q11" i="2"/>
  <c r="Q13" i="2"/>
  <c r="Q14" i="2"/>
  <c r="Q15" i="2"/>
  <c r="Q16" i="2"/>
  <c r="Q17" i="2"/>
  <c r="Q18" i="2"/>
  <c r="Q19" i="2"/>
  <c r="Q20" i="2"/>
  <c r="Q21" i="2"/>
  <c r="Q22" i="2"/>
  <c r="Q24" i="2"/>
  <c r="Q25" i="2"/>
  <c r="Q26" i="2"/>
  <c r="Q27" i="2"/>
  <c r="Q28" i="2"/>
  <c r="Q3" i="2"/>
  <c r="N4" i="2"/>
  <c r="N5" i="2"/>
  <c r="N6" i="2"/>
  <c r="N7" i="2"/>
  <c r="N8" i="2"/>
  <c r="N9" i="2"/>
  <c r="N10" i="2"/>
  <c r="N11" i="2"/>
  <c r="N13" i="2"/>
  <c r="N14" i="2"/>
  <c r="N15" i="2"/>
  <c r="N16" i="2"/>
  <c r="N17" i="2"/>
  <c r="N18" i="2"/>
  <c r="N19" i="2"/>
  <c r="N20" i="2"/>
  <c r="N21" i="2"/>
  <c r="N22" i="2"/>
  <c r="N24" i="2"/>
  <c r="N25" i="2"/>
  <c r="N26" i="2"/>
  <c r="N27" i="2"/>
  <c r="N28" i="2"/>
  <c r="N3" i="2"/>
  <c r="K4" i="2"/>
  <c r="K5" i="2"/>
  <c r="K6" i="2"/>
  <c r="K7" i="2"/>
  <c r="K8" i="2"/>
  <c r="K9" i="2"/>
  <c r="K10" i="2"/>
  <c r="K11" i="2"/>
  <c r="K13" i="2"/>
  <c r="K14" i="2"/>
  <c r="K15" i="2"/>
  <c r="K16" i="2"/>
  <c r="K17" i="2"/>
  <c r="K18" i="2"/>
  <c r="K19" i="2"/>
  <c r="K20" i="2"/>
  <c r="K21" i="2"/>
  <c r="K22" i="2"/>
  <c r="K23" i="2"/>
  <c r="K24" i="2"/>
  <c r="K25" i="2"/>
  <c r="K26" i="2"/>
  <c r="K27" i="2"/>
  <c r="K28" i="2"/>
  <c r="K3" i="2"/>
  <c r="P4" i="2"/>
  <c r="P5" i="2"/>
  <c r="P6" i="2"/>
  <c r="P7" i="2"/>
  <c r="P8" i="2"/>
  <c r="P9" i="2"/>
  <c r="P10" i="2"/>
  <c r="P11" i="2"/>
  <c r="P13" i="2"/>
  <c r="P14" i="2"/>
  <c r="P15" i="2"/>
  <c r="P16" i="2"/>
  <c r="P17" i="2"/>
  <c r="P18" i="2"/>
  <c r="P19" i="2"/>
  <c r="P20" i="2"/>
  <c r="P21" i="2"/>
  <c r="P22" i="2"/>
  <c r="P24" i="2"/>
  <c r="P25" i="2"/>
  <c r="P26" i="2"/>
  <c r="P27" i="2"/>
  <c r="P28" i="2"/>
  <c r="P3" i="2"/>
  <c r="M4" i="2"/>
  <c r="M5" i="2"/>
  <c r="M6" i="2"/>
  <c r="M7" i="2"/>
  <c r="M8" i="2"/>
  <c r="M9" i="2"/>
  <c r="M10" i="2"/>
  <c r="M11" i="2"/>
  <c r="M13" i="2"/>
  <c r="M14" i="2"/>
  <c r="M15" i="2"/>
  <c r="M16" i="2"/>
  <c r="M17" i="2"/>
  <c r="M18" i="2"/>
  <c r="M19" i="2"/>
  <c r="M20" i="2"/>
  <c r="M21" i="2"/>
  <c r="M22" i="2"/>
  <c r="M24" i="2"/>
  <c r="M25" i="2"/>
  <c r="M26" i="2"/>
  <c r="M27" i="2"/>
  <c r="M28" i="2"/>
  <c r="M3" i="2"/>
  <c r="J4" i="2"/>
  <c r="J5" i="2"/>
  <c r="J6" i="2"/>
  <c r="J7" i="2"/>
  <c r="J8" i="2"/>
  <c r="J9" i="2"/>
  <c r="J10" i="2"/>
  <c r="J11" i="2"/>
  <c r="J13" i="2"/>
  <c r="J14" i="2"/>
  <c r="J15" i="2"/>
  <c r="J16" i="2"/>
  <c r="J17" i="2"/>
  <c r="J18" i="2"/>
  <c r="J19" i="2"/>
  <c r="J20" i="2"/>
  <c r="J21" i="2"/>
  <c r="J22" i="2"/>
  <c r="J24" i="2"/>
  <c r="J25" i="2"/>
  <c r="J26" i="2"/>
  <c r="J27" i="2"/>
  <c r="J28" i="2"/>
  <c r="J3" i="2"/>
  <c r="G4" i="2"/>
  <c r="G5" i="2"/>
  <c r="G6" i="2"/>
  <c r="G7" i="2"/>
  <c r="G8" i="2"/>
  <c r="G9" i="2"/>
  <c r="G10" i="2"/>
  <c r="G11" i="2"/>
  <c r="G13" i="2"/>
  <c r="G14" i="2"/>
  <c r="G15" i="2"/>
  <c r="G16" i="2"/>
  <c r="G17" i="2"/>
  <c r="G18" i="2"/>
  <c r="G19" i="2"/>
  <c r="G20" i="2"/>
  <c r="G21" i="2"/>
  <c r="G22" i="2"/>
  <c r="G24" i="2"/>
  <c r="G25" i="2"/>
  <c r="G26" i="2"/>
  <c r="G28" i="2"/>
  <c r="G3" i="2"/>
  <c r="D17" i="1"/>
  <c r="N16" i="4" s="1"/>
  <c r="G17" i="1"/>
  <c r="O16" i="4" s="1"/>
  <c r="AA17" i="1"/>
  <c r="AA15" i="1"/>
  <c r="AA10" i="1"/>
  <c r="AA9" i="1"/>
  <c r="AA20" i="1"/>
  <c r="AC9" i="1"/>
  <c r="AA22" i="1"/>
  <c r="AC20" i="1"/>
  <c r="AC10" i="1"/>
  <c r="AA8" i="1"/>
  <c r="AA6" i="1"/>
  <c r="AA5" i="1"/>
  <c r="AA4" i="1"/>
  <c r="AC5" i="1"/>
  <c r="AC4" i="1"/>
  <c r="AM12" i="1"/>
  <c r="AN12" i="1" s="1"/>
  <c r="AM8" i="1"/>
  <c r="AM7" i="1"/>
  <c r="AM6" i="1"/>
  <c r="AQ6" i="1"/>
  <c r="AR6" i="1" s="1"/>
  <c r="AO6" i="1"/>
  <c r="AU6" i="1"/>
  <c r="AQ7" i="1"/>
  <c r="AO7" i="1"/>
  <c r="E4" i="1"/>
  <c r="E5" i="1"/>
  <c r="E7" i="1"/>
  <c r="E9" i="1"/>
  <c r="E10" i="1"/>
  <c r="E13" i="1"/>
  <c r="E18" i="1"/>
  <c r="E19" i="1"/>
  <c r="E23" i="1"/>
  <c r="E24" i="1"/>
  <c r="E3" i="1"/>
  <c r="D25" i="1"/>
  <c r="D20" i="1"/>
  <c r="N4" i="1"/>
  <c r="N5" i="1"/>
  <c r="N7" i="1"/>
  <c r="N9" i="1"/>
  <c r="N10" i="1"/>
  <c r="N13" i="1"/>
  <c r="N14" i="1"/>
  <c r="N18" i="1"/>
  <c r="N19" i="1"/>
  <c r="N23" i="1"/>
  <c r="N24" i="1"/>
  <c r="N3" i="1"/>
  <c r="K4" i="1"/>
  <c r="K5" i="1"/>
  <c r="K7" i="1"/>
  <c r="K9" i="1"/>
  <c r="K10" i="1"/>
  <c r="K13" i="1"/>
  <c r="K14" i="1"/>
  <c r="K18" i="1"/>
  <c r="K19" i="1"/>
  <c r="K23" i="1"/>
  <c r="K24" i="1"/>
  <c r="K3" i="1"/>
  <c r="H23" i="1"/>
  <c r="H24" i="1"/>
  <c r="H4" i="1"/>
  <c r="H5" i="1"/>
  <c r="H7" i="1"/>
  <c r="H9" i="1"/>
  <c r="H10" i="1"/>
  <c r="H13" i="1"/>
  <c r="H14" i="1"/>
  <c r="H18" i="1"/>
  <c r="H19" i="1"/>
  <c r="H3" i="1"/>
  <c r="AU7" i="1"/>
  <c r="AU8" i="1"/>
  <c r="AU12" i="1"/>
  <c r="AI4" i="1"/>
  <c r="AB4" i="1" s="1"/>
  <c r="AI5" i="1"/>
  <c r="AI6" i="1"/>
  <c r="AI8" i="1"/>
  <c r="AI9" i="1"/>
  <c r="AI10" i="1"/>
  <c r="AI15" i="1"/>
  <c r="AI16" i="1"/>
  <c r="AI17" i="1"/>
  <c r="AI20" i="1"/>
  <c r="AI22" i="1"/>
  <c r="AC22" i="1"/>
  <c r="AD22" i="1" s="1"/>
  <c r="AD20" i="1"/>
  <c r="AC17" i="1"/>
  <c r="AC16" i="1"/>
  <c r="AC15" i="1"/>
  <c r="AC18" i="1" s="1"/>
  <c r="AS6" i="1"/>
  <c r="AS7" i="1"/>
  <c r="AQ8" i="1"/>
  <c r="AR8" i="1" s="1"/>
  <c r="AS8" i="1"/>
  <c r="AT8" i="1" s="1"/>
  <c r="AQ12" i="1"/>
  <c r="AR12" i="1" s="1"/>
  <c r="AS12" i="1"/>
  <c r="AT12" i="1" s="1"/>
  <c r="AO12" i="1"/>
  <c r="AP12" i="1" s="1"/>
  <c r="AE22" i="1"/>
  <c r="AG22" i="1"/>
  <c r="AE15" i="1"/>
  <c r="AG15" i="1"/>
  <c r="AE16" i="1"/>
  <c r="AG16" i="1"/>
  <c r="AE17" i="1"/>
  <c r="AG17" i="1"/>
  <c r="AE20" i="1"/>
  <c r="AG20" i="1"/>
  <c r="AE4" i="1"/>
  <c r="AG4" i="1"/>
  <c r="AE5" i="1"/>
  <c r="AG5" i="1"/>
  <c r="AE6" i="1"/>
  <c r="AG6" i="1"/>
  <c r="AE8" i="1"/>
  <c r="AG8" i="1"/>
  <c r="AE9" i="1"/>
  <c r="AG9" i="1"/>
  <c r="AE10" i="1"/>
  <c r="AG10" i="1"/>
  <c r="AO8" i="1"/>
  <c r="AP8" i="1" s="1"/>
  <c r="AG18" i="1"/>
  <c r="AC8" i="1"/>
  <c r="AC6" i="1"/>
  <c r="D11" i="1"/>
  <c r="N10" i="4" s="1"/>
  <c r="D6" i="1"/>
  <c r="J25" i="1"/>
  <c r="P24" i="4" s="1"/>
  <c r="M25" i="1"/>
  <c r="P25" i="1"/>
  <c r="R24" i="4" s="1"/>
  <c r="G25" i="1"/>
  <c r="O24" i="4" s="1"/>
  <c r="J20" i="1"/>
  <c r="M20" i="1"/>
  <c r="P20" i="1"/>
  <c r="G20" i="1"/>
  <c r="J17" i="1"/>
  <c r="P16" i="4" s="1"/>
  <c r="M17" i="1"/>
  <c r="Q16" i="4" s="1"/>
  <c r="P17" i="1"/>
  <c r="R16" i="4" s="1"/>
  <c r="J11" i="1"/>
  <c r="P10" i="4" s="1"/>
  <c r="M11" i="1"/>
  <c r="Q10" i="4" s="1"/>
  <c r="P11" i="1"/>
  <c r="R10" i="4" s="1"/>
  <c r="G11" i="1"/>
  <c r="O10" i="4" s="1"/>
  <c r="J6" i="1"/>
  <c r="P5" i="4" s="1"/>
  <c r="M6" i="1"/>
  <c r="Q5" i="4" s="1"/>
  <c r="P6" i="1"/>
  <c r="R5" i="4" s="1"/>
  <c r="G6" i="1"/>
  <c r="O5" i="4" s="1"/>
  <c r="N6" i="1"/>
  <c r="K6" i="1"/>
  <c r="AD16" i="1" l="1"/>
  <c r="F25" i="4"/>
  <c r="E25" i="4"/>
  <c r="P12" i="1"/>
  <c r="N11" i="1"/>
  <c r="AT7" i="1"/>
  <c r="H11" i="1"/>
  <c r="G12" i="1"/>
  <c r="I24" i="1" s="1"/>
  <c r="D17" i="4"/>
  <c r="D11" i="4"/>
  <c r="D18" i="4"/>
  <c r="C5" i="4"/>
  <c r="C11" i="4"/>
  <c r="C16" i="4"/>
  <c r="C19" i="4" s="1"/>
  <c r="F11" i="4"/>
  <c r="C21" i="4"/>
  <c r="C17" i="4"/>
  <c r="C4" i="4"/>
  <c r="C18" i="4"/>
  <c r="G11" i="4"/>
  <c r="E11" i="4"/>
  <c r="H11" i="4"/>
  <c r="D12" i="4"/>
  <c r="D13" i="4"/>
  <c r="D29" i="4"/>
  <c r="D14" i="4"/>
  <c r="D32" i="4"/>
  <c r="D41" i="4"/>
  <c r="D44" i="4" s="1"/>
  <c r="C13" i="4"/>
  <c r="C12" i="4"/>
  <c r="C29" i="4"/>
  <c r="C14" i="4"/>
  <c r="C32" i="4"/>
  <c r="C41" i="4"/>
  <c r="C24" i="4"/>
  <c r="H21" i="4"/>
  <c r="C25" i="4"/>
  <c r="D35" i="2"/>
  <c r="D38" i="2" s="1"/>
  <c r="D40" i="2" s="1"/>
  <c r="D42" i="2" s="1"/>
  <c r="H19" i="4"/>
  <c r="E17" i="4"/>
  <c r="E18" i="4"/>
  <c r="D36" i="4"/>
  <c r="C44" i="4"/>
  <c r="C33" i="4"/>
  <c r="C36" i="4"/>
  <c r="C34" i="4"/>
  <c r="C35" i="4" s="1"/>
  <c r="D33" i="4"/>
  <c r="D34" i="4"/>
  <c r="D35" i="4" s="1"/>
  <c r="E12" i="4"/>
  <c r="E13" i="4"/>
  <c r="F12" i="4"/>
  <c r="F13" i="4"/>
  <c r="G12" i="4"/>
  <c r="G13" i="4"/>
  <c r="H12" i="4"/>
  <c r="H13" i="4"/>
  <c r="E29" i="4"/>
  <c r="E14" i="4"/>
  <c r="F14" i="4"/>
  <c r="F29" i="4"/>
  <c r="G14" i="4"/>
  <c r="G29" i="4"/>
  <c r="H29" i="4"/>
  <c r="H14" i="4"/>
  <c r="E41" i="4"/>
  <c r="E34" i="4" s="1"/>
  <c r="E35" i="4" s="1"/>
  <c r="E32" i="4"/>
  <c r="F41" i="4"/>
  <c r="F34" i="4" s="1"/>
  <c r="F35" i="4" s="1"/>
  <c r="F32" i="4"/>
  <c r="G41" i="4"/>
  <c r="G34" i="4" s="1"/>
  <c r="G35" i="4" s="1"/>
  <c r="G32" i="4"/>
  <c r="H32" i="4"/>
  <c r="H41" i="4"/>
  <c r="H34" i="4" s="1"/>
  <c r="H35" i="4" s="1"/>
  <c r="C23" i="4"/>
  <c r="AP6" i="1"/>
  <c r="AN7" i="1"/>
  <c r="AP7" i="1"/>
  <c r="AN8" i="1"/>
  <c r="AR7" i="1"/>
  <c r="AT6" i="1"/>
  <c r="C6" i="4"/>
  <c r="C7" i="4"/>
  <c r="C28" i="4"/>
  <c r="C27" i="4"/>
  <c r="C37" i="4"/>
  <c r="C30" i="4"/>
  <c r="H27" i="4"/>
  <c r="G27" i="4"/>
  <c r="F27" i="4"/>
  <c r="E27" i="4"/>
  <c r="D27" i="4"/>
  <c r="AA16" i="1"/>
  <c r="N13" i="4"/>
  <c r="AM11" i="1"/>
  <c r="N24" i="4"/>
  <c r="AA19" i="1"/>
  <c r="N19" i="4"/>
  <c r="D30" i="4" s="1"/>
  <c r="D24" i="4"/>
  <c r="AS11" i="1"/>
  <c r="AS18" i="1" s="1"/>
  <c r="Q24" i="4"/>
  <c r="AE19" i="1"/>
  <c r="AE23" i="1" s="1"/>
  <c r="P19" i="4"/>
  <c r="AG19" i="1"/>
  <c r="Q19" i="4"/>
  <c r="N20" i="1"/>
  <c r="R19" i="4"/>
  <c r="AC19" i="1"/>
  <c r="O19" i="4"/>
  <c r="F23" i="4"/>
  <c r="F24" i="4"/>
  <c r="H23" i="4"/>
  <c r="H24" i="4"/>
  <c r="E23" i="4"/>
  <c r="E24" i="4"/>
  <c r="I4" i="1"/>
  <c r="O11" i="4"/>
  <c r="E28" i="4" s="1"/>
  <c r="H25" i="4"/>
  <c r="F19" i="4"/>
  <c r="G19" i="4"/>
  <c r="J58" i="3"/>
  <c r="J57" i="3"/>
  <c r="J56" i="3"/>
  <c r="J55" i="3"/>
  <c r="L53" i="3"/>
  <c r="L57" i="3"/>
  <c r="H58" i="3"/>
  <c r="J53" i="3"/>
  <c r="H55" i="3"/>
  <c r="L55" i="3"/>
  <c r="H56" i="3"/>
  <c r="H57" i="3"/>
  <c r="L58" i="3"/>
  <c r="M59" i="3"/>
  <c r="K59" i="3"/>
  <c r="I59" i="3"/>
  <c r="J54" i="3"/>
  <c r="H53" i="3"/>
  <c r="G59" i="3"/>
  <c r="E59" i="3"/>
  <c r="F53" i="3"/>
  <c r="E5" i="4"/>
  <c r="E4" i="4"/>
  <c r="F5" i="4"/>
  <c r="F4" i="4"/>
  <c r="G5" i="4"/>
  <c r="G4" i="4"/>
  <c r="H5" i="4"/>
  <c r="H4" i="4"/>
  <c r="D5" i="4"/>
  <c r="D4" i="4"/>
  <c r="F4" i="1"/>
  <c r="N5" i="4"/>
  <c r="F42" i="2"/>
  <c r="AD10" i="1"/>
  <c r="AF9" i="1"/>
  <c r="AM9" i="1"/>
  <c r="AN6" i="1"/>
  <c r="H28" i="2"/>
  <c r="H4" i="2"/>
  <c r="H5" i="2"/>
  <c r="H6" i="2"/>
  <c r="H7" i="2"/>
  <c r="H8" i="2"/>
  <c r="H9" i="2"/>
  <c r="H10" i="2"/>
  <c r="H11" i="2"/>
  <c r="H13" i="2"/>
  <c r="H14" i="2"/>
  <c r="H15" i="2"/>
  <c r="H16" i="2"/>
  <c r="H17" i="2"/>
  <c r="H18" i="2"/>
  <c r="H19" i="2"/>
  <c r="H20" i="2"/>
  <c r="H21" i="2"/>
  <c r="H22" i="2"/>
  <c r="H23" i="2"/>
  <c r="H24" i="2"/>
  <c r="H25" i="2"/>
  <c r="H26" i="2"/>
  <c r="H27" i="2"/>
  <c r="H3" i="2"/>
  <c r="AC7" i="1"/>
  <c r="AF4" i="1"/>
  <c r="AC23" i="1"/>
  <c r="AF8" i="1"/>
  <c r="AH8" i="1"/>
  <c r="AB16" i="1"/>
  <c r="AB15" i="1"/>
  <c r="AB10" i="1"/>
  <c r="AB9" i="1"/>
  <c r="AB20" i="1"/>
  <c r="AD9" i="1"/>
  <c r="AB22" i="1"/>
  <c r="AB5" i="1"/>
  <c r="AF10" i="1"/>
  <c r="AM18" i="1"/>
  <c r="AS9" i="1"/>
  <c r="AF20" i="1"/>
  <c r="AH22" i="1"/>
  <c r="Q11" i="1"/>
  <c r="AM10" i="1"/>
  <c r="AI12" i="1"/>
  <c r="AF22" i="1"/>
  <c r="AH10" i="1"/>
  <c r="AB8" i="1"/>
  <c r="AA12" i="1"/>
  <c r="AB6" i="1"/>
  <c r="AA7" i="1"/>
  <c r="AA23" i="1"/>
  <c r="AD8" i="1"/>
  <c r="AC12" i="1"/>
  <c r="Q12" i="1"/>
  <c r="Q13" i="1"/>
  <c r="Q18" i="1"/>
  <c r="Q19" i="1"/>
  <c r="Q23" i="1"/>
  <c r="E14" i="1"/>
  <c r="AA18" i="1"/>
  <c r="I5" i="1"/>
  <c r="I14" i="1"/>
  <c r="Q25" i="1"/>
  <c r="I8" i="1"/>
  <c r="I3" i="1"/>
  <c r="AU9" i="1"/>
  <c r="AE7" i="1"/>
  <c r="I17" i="1"/>
  <c r="AD4" i="1"/>
  <c r="AG23" i="1"/>
  <c r="AG25" i="1" s="1"/>
  <c r="G40" i="4" s="1"/>
  <c r="D26" i="1"/>
  <c r="AF5" i="1"/>
  <c r="AH20" i="1"/>
  <c r="AE12" i="1"/>
  <c r="M12" i="1"/>
  <c r="Q11" i="4" s="1"/>
  <c r="I6" i="1"/>
  <c r="F24" i="1"/>
  <c r="F21" i="1"/>
  <c r="F23" i="1"/>
  <c r="F19" i="1"/>
  <c r="F18" i="1"/>
  <c r="F16" i="1"/>
  <c r="F13" i="1"/>
  <c r="F14" i="1"/>
  <c r="D12" i="1"/>
  <c r="N11" i="4" s="1"/>
  <c r="F7" i="1"/>
  <c r="F8" i="1"/>
  <c r="AQ11" i="1"/>
  <c r="J26" i="1"/>
  <c r="P25" i="4" s="1"/>
  <c r="K17" i="1"/>
  <c r="AQ10" i="1"/>
  <c r="N17" i="1"/>
  <c r="AS10" i="1"/>
  <c r="AU10" i="1"/>
  <c r="AU17" i="1" s="1"/>
  <c r="H17" i="1"/>
  <c r="Q17" i="1"/>
  <c r="AQ9" i="1"/>
  <c r="AO9" i="1"/>
  <c r="K11" i="1"/>
  <c r="H25" i="1"/>
  <c r="G26" i="1"/>
  <c r="O25" i="4" s="1"/>
  <c r="AO11" i="1"/>
  <c r="I25" i="1"/>
  <c r="AE18" i="1"/>
  <c r="AF15" i="1"/>
  <c r="AF6" i="1"/>
  <c r="AD6" i="1"/>
  <c r="AH9" i="1"/>
  <c r="AG12" i="1"/>
  <c r="AC25" i="1"/>
  <c r="E40" i="4" s="1"/>
  <c r="AH16" i="1"/>
  <c r="AF16" i="1"/>
  <c r="AD5" i="1"/>
  <c r="AI18" i="1"/>
  <c r="AH6" i="1"/>
  <c r="AG7" i="1"/>
  <c r="AH4" i="1"/>
  <c r="I11" i="1"/>
  <c r="I9" i="1"/>
  <c r="P26" i="1"/>
  <c r="R25" i="4" s="1"/>
  <c r="H12" i="1"/>
  <c r="I16" i="1"/>
  <c r="I7" i="1"/>
  <c r="Q20" i="1"/>
  <c r="Q21" i="1"/>
  <c r="Q10" i="1"/>
  <c r="H20" i="1"/>
  <c r="AI19" i="1"/>
  <c r="AB19" i="1" s="1"/>
  <c r="AI7" i="1"/>
  <c r="F5" i="1"/>
  <c r="I23" i="1"/>
  <c r="I13" i="1"/>
  <c r="Q6" i="1"/>
  <c r="Q16" i="1"/>
  <c r="Q7" i="1"/>
  <c r="AO10" i="1"/>
  <c r="AP10" i="1" s="1"/>
  <c r="H6" i="1"/>
  <c r="AD15" i="1"/>
  <c r="I20" i="1"/>
  <c r="I12" i="1"/>
  <c r="Q3" i="1"/>
  <c r="Q15" i="1"/>
  <c r="Q5" i="1"/>
  <c r="M26" i="1"/>
  <c r="Q25" i="4" s="1"/>
  <c r="K25" i="1"/>
  <c r="N25" i="1"/>
  <c r="AH5" i="1"/>
  <c r="I21" i="1"/>
  <c r="I10" i="1"/>
  <c r="Q24" i="1"/>
  <c r="Q14" i="1"/>
  <c r="Q4" i="1"/>
  <c r="AU11" i="1"/>
  <c r="F9" i="1"/>
  <c r="F3" i="1"/>
  <c r="F10" i="1"/>
  <c r="I19" i="1"/>
  <c r="AH15" i="1"/>
  <c r="I18" i="1"/>
  <c r="Q22" i="1"/>
  <c r="K20" i="1"/>
  <c r="E6" i="1"/>
  <c r="E11" i="1"/>
  <c r="E17" i="1"/>
  <c r="E20" i="1"/>
  <c r="E25" i="1"/>
  <c r="R11" i="4" l="1"/>
  <c r="Q8" i="1"/>
  <c r="Q9" i="1"/>
  <c r="D19" i="4"/>
  <c r="G25" i="4"/>
  <c r="G24" i="4"/>
  <c r="G23" i="4"/>
  <c r="E19" i="4"/>
  <c r="C38" i="4"/>
  <c r="C39" i="4" s="1"/>
  <c r="D25" i="4"/>
  <c r="D23" i="4"/>
  <c r="E36" i="4"/>
  <c r="E44" i="4"/>
  <c r="E33" i="4"/>
  <c r="F44" i="4"/>
  <c r="F33" i="4"/>
  <c r="F36" i="4"/>
  <c r="G36" i="4"/>
  <c r="G44" i="4"/>
  <c r="G33" i="4"/>
  <c r="H36" i="4"/>
  <c r="H44" i="4"/>
  <c r="H33" i="4"/>
  <c r="D37" i="4"/>
  <c r="D38" i="4" s="1"/>
  <c r="D39" i="4" s="1"/>
  <c r="F30" i="4"/>
  <c r="F37" i="4"/>
  <c r="F38" i="4" s="1"/>
  <c r="F39" i="4" s="1"/>
  <c r="G37" i="4"/>
  <c r="G38" i="4" s="1"/>
  <c r="G39" i="4" s="1"/>
  <c r="G30" i="4"/>
  <c r="H37" i="4"/>
  <c r="H38" i="4" s="1"/>
  <c r="H39" i="4" s="1"/>
  <c r="H30" i="4"/>
  <c r="E37" i="4"/>
  <c r="E38" i="4" s="1"/>
  <c r="E39" i="4" s="1"/>
  <c r="E30" i="4"/>
  <c r="E6" i="4"/>
  <c r="E7" i="4"/>
  <c r="C9" i="4"/>
  <c r="AT10" i="1"/>
  <c r="AT9" i="1"/>
  <c r="AE14" i="1"/>
  <c r="AR9" i="1"/>
  <c r="AP9" i="1"/>
  <c r="F20" i="1"/>
  <c r="N25" i="4"/>
  <c r="G28" i="4"/>
  <c r="G6" i="4"/>
  <c r="G7" i="4"/>
  <c r="D28" i="4"/>
  <c r="D7" i="4"/>
  <c r="D6" i="4"/>
  <c r="D9" i="4" s="1"/>
  <c r="L17" i="1"/>
  <c r="P11" i="4"/>
  <c r="L59" i="3"/>
  <c r="J59" i="3"/>
  <c r="H59" i="3"/>
  <c r="F59" i="3"/>
  <c r="AN9" i="1"/>
  <c r="AN10" i="1"/>
  <c r="AQ18" i="1"/>
  <c r="AR11" i="1"/>
  <c r="AQ13" i="1"/>
  <c r="AQ17" i="1"/>
  <c r="AR17" i="1" s="1"/>
  <c r="AR10" i="1"/>
  <c r="AO18" i="1"/>
  <c r="AP11" i="1"/>
  <c r="AU18" i="1"/>
  <c r="AU19" i="1" s="1"/>
  <c r="AT11" i="1"/>
  <c r="AN11" i="1"/>
  <c r="AB12" i="1"/>
  <c r="AF12" i="1"/>
  <c r="AM17" i="1"/>
  <c r="AM13" i="1"/>
  <c r="AA14" i="1"/>
  <c r="AB7" i="1"/>
  <c r="AH12" i="1"/>
  <c r="AC14" i="1"/>
  <c r="AD12" i="1"/>
  <c r="AA25" i="1"/>
  <c r="AB18" i="1"/>
  <c r="O25" i="1"/>
  <c r="O14" i="1"/>
  <c r="O24" i="1"/>
  <c r="O5" i="1"/>
  <c r="O3" i="1"/>
  <c r="N12" i="1"/>
  <c r="O9" i="1"/>
  <c r="O19" i="1"/>
  <c r="O11" i="1"/>
  <c r="O12" i="1"/>
  <c r="O20" i="1"/>
  <c r="O6" i="1"/>
  <c r="F17" i="1"/>
  <c r="F25" i="1"/>
  <c r="O18" i="1"/>
  <c r="O10" i="1"/>
  <c r="O21" i="1"/>
  <c r="O7" i="1"/>
  <c r="O16" i="1"/>
  <c r="O13" i="1"/>
  <c r="O23" i="1"/>
  <c r="O4" i="1"/>
  <c r="O8" i="1"/>
  <c r="O17" i="1"/>
  <c r="E12" i="1"/>
  <c r="F6" i="1"/>
  <c r="F11" i="1"/>
  <c r="F12" i="1" s="1"/>
  <c r="AS17" i="1"/>
  <c r="AS13" i="1"/>
  <c r="L26" i="1"/>
  <c r="L11" i="1"/>
  <c r="AI14" i="1"/>
  <c r="AF7" i="1"/>
  <c r="AE25" i="1"/>
  <c r="F40" i="4" s="1"/>
  <c r="AF18" i="1"/>
  <c r="AD7" i="1"/>
  <c r="Q26" i="1"/>
  <c r="K26" i="1"/>
  <c r="O26" i="1"/>
  <c r="N26" i="1"/>
  <c r="AO13" i="1"/>
  <c r="AO17" i="1"/>
  <c r="I26" i="1"/>
  <c r="H26" i="1"/>
  <c r="AH18" i="1"/>
  <c r="AI23" i="1"/>
  <c r="AB23" i="1" s="1"/>
  <c r="AD19" i="1"/>
  <c r="AF19" i="1"/>
  <c r="AH19" i="1"/>
  <c r="AU13" i="1"/>
  <c r="L8" i="1"/>
  <c r="L18" i="1"/>
  <c r="L6" i="1"/>
  <c r="L9" i="1"/>
  <c r="L4" i="1"/>
  <c r="L14" i="1"/>
  <c r="L24" i="1"/>
  <c r="L10" i="1"/>
  <c r="L21" i="1"/>
  <c r="L12" i="1"/>
  <c r="L20" i="1"/>
  <c r="L13" i="1"/>
  <c r="L23" i="1"/>
  <c r="L25" i="1"/>
  <c r="L7" i="1"/>
  <c r="L16" i="1"/>
  <c r="K12" i="1"/>
  <c r="L19" i="1"/>
  <c r="L3" i="1"/>
  <c r="L5" i="1"/>
  <c r="L15" i="1"/>
  <c r="E26" i="1"/>
  <c r="AG14" i="1"/>
  <c r="AH7" i="1"/>
  <c r="AD18" i="1"/>
  <c r="AT13" i="1" l="1"/>
  <c r="AN13" i="1"/>
  <c r="AF14" i="1"/>
  <c r="H6" i="4"/>
  <c r="H28" i="4"/>
  <c r="H7" i="4"/>
  <c r="E9" i="4"/>
  <c r="F28" i="4"/>
  <c r="F6" i="4"/>
  <c r="F7" i="4"/>
  <c r="G9" i="4"/>
  <c r="AR13" i="1"/>
  <c r="AP18" i="1"/>
  <c r="AP13" i="1"/>
  <c r="AR18" i="1"/>
  <c r="AQ19" i="1"/>
  <c r="AR19" i="1" s="1"/>
  <c r="AN18" i="1"/>
  <c r="AT18" i="1"/>
  <c r="AS19" i="1"/>
  <c r="AT19" i="1" s="1"/>
  <c r="AT17" i="1"/>
  <c r="AO19" i="1"/>
  <c r="AP19" i="1" s="1"/>
  <c r="AP17" i="1"/>
  <c r="AM19" i="1"/>
  <c r="AN19" i="1" s="1"/>
  <c r="AN17" i="1"/>
  <c r="AD14" i="1"/>
  <c r="F26" i="1"/>
  <c r="AB14" i="1"/>
  <c r="AH14" i="1"/>
  <c r="AF23" i="1"/>
  <c r="AH23" i="1"/>
  <c r="AI25" i="1"/>
  <c r="AB25" i="1" l="1"/>
  <c r="H40" i="4"/>
  <c r="H9" i="4"/>
  <c r="F9" i="4"/>
  <c r="AD25" i="1"/>
  <c r="AH25" i="1"/>
  <c r="AF25" i="1"/>
</calcChain>
</file>

<file path=xl/sharedStrings.xml><?xml version="1.0" encoding="utf-8"?>
<sst xmlns="http://schemas.openxmlformats.org/spreadsheetml/2006/main" count="327" uniqueCount="221">
  <si>
    <t>Balance sheet</t>
  </si>
  <si>
    <t>Q1 - 2026</t>
  </si>
  <si>
    <t>trend</t>
  </si>
  <si>
    <t>common-size</t>
  </si>
  <si>
    <t>Intangible assets</t>
  </si>
  <si>
    <t>WORKING CAPITAL ANALYSIS</t>
  </si>
  <si>
    <t>Property, plant and equipment</t>
  </si>
  <si>
    <t>Other non-current assets</t>
  </si>
  <si>
    <t>Simplified Balance Sheet (SBS) (in £m)</t>
  </si>
  <si>
    <t>Total non-current assets</t>
  </si>
  <si>
    <t>Fixed Assets</t>
  </si>
  <si>
    <t>Inventories</t>
  </si>
  <si>
    <t>FA</t>
  </si>
  <si>
    <t>A</t>
  </si>
  <si>
    <t>Current Assets except PC</t>
  </si>
  <si>
    <t>Accounts receivable</t>
  </si>
  <si>
    <t xml:space="preserve">Inventories </t>
  </si>
  <si>
    <t>Positive Cash</t>
  </si>
  <si>
    <t>Other current assets</t>
  </si>
  <si>
    <t xml:space="preserve">Trade Receivables </t>
  </si>
  <si>
    <t>Total assets</t>
  </si>
  <si>
    <t>Cash and cash equivalents</t>
  </si>
  <si>
    <t xml:space="preserve">Trade Payables </t>
  </si>
  <si>
    <t xml:space="preserve">Long-Term Capital </t>
  </si>
  <si>
    <t>Total current assets</t>
  </si>
  <si>
    <t>Current Liabilities except NC</t>
  </si>
  <si>
    <t>WCN</t>
  </si>
  <si>
    <t>B</t>
  </si>
  <si>
    <t>Negative Cash</t>
  </si>
  <si>
    <t>Issued share capital</t>
  </si>
  <si>
    <t>Total equity &amp; liabilities</t>
  </si>
  <si>
    <t>Capital &amp; Other reserves</t>
  </si>
  <si>
    <t>Capital Employed</t>
  </si>
  <si>
    <t>A+B</t>
  </si>
  <si>
    <t>Equity portion of convertible debt</t>
  </si>
  <si>
    <t xml:space="preserve">Share Capital </t>
  </si>
  <si>
    <t>Retained earnings</t>
  </si>
  <si>
    <t xml:space="preserve">Reserves </t>
  </si>
  <si>
    <t>Statement of Financial Structure (SFS) (in £m)</t>
  </si>
  <si>
    <t>Total equity</t>
  </si>
  <si>
    <t xml:space="preserve">Retained Earnings </t>
  </si>
  <si>
    <t>Working Capital (WC)</t>
  </si>
  <si>
    <t>Borrowings &amp; similar liabilities</t>
  </si>
  <si>
    <t>SE</t>
  </si>
  <si>
    <t>C</t>
  </si>
  <si>
    <t>Working Capital Need (WCN)</t>
  </si>
  <si>
    <t>Other non-current liabilities</t>
  </si>
  <si>
    <t>LT Debt</t>
  </si>
  <si>
    <t>Net Cash (NC)</t>
  </si>
  <si>
    <t>Total non-current liabilities</t>
  </si>
  <si>
    <t>ST Debt</t>
  </si>
  <si>
    <t>Accounts payable</t>
  </si>
  <si>
    <t>Securities</t>
  </si>
  <si>
    <t>Bank overdraft</t>
  </si>
  <si>
    <t>Cash</t>
  </si>
  <si>
    <t>Net Debt</t>
  </si>
  <si>
    <t>D</t>
  </si>
  <si>
    <t>Other current liabilities</t>
  </si>
  <si>
    <t>Total current liabilities</t>
  </si>
  <si>
    <t>Invested Capital</t>
  </si>
  <si>
    <t>C+D</t>
  </si>
  <si>
    <t>Total equity and liabilities</t>
  </si>
  <si>
    <t>Line Item</t>
  </si>
  <si>
    <t>FY2025 (€m)</t>
  </si>
  <si>
    <t>FY2024 (€m)</t>
  </si>
  <si>
    <t>Revenue</t>
  </si>
  <si>
    <t>Cost of sales</t>
  </si>
  <si>
    <t>Gross profit</t>
  </si>
  <si>
    <t>Research and development</t>
  </si>
  <si>
    <t>Selling, general and administrative expenses</t>
  </si>
  <si>
    <t>Adjusted EBITA</t>
  </si>
  <si>
    <t>Other operating income and expenses</t>
  </si>
  <si>
    <t>Restructuring charges</t>
  </si>
  <si>
    <t>EBITA</t>
  </si>
  <si>
    <t>Amortization of acquisition-related intangibles</t>
  </si>
  <si>
    <t>Operating income (EBIT)</t>
  </si>
  <si>
    <t>Income from cash and cash equivalents</t>
  </si>
  <si>
    <t>Gross cost of financial debt</t>
  </si>
  <si>
    <t>Net cost of financial debt</t>
  </si>
  <si>
    <t>Other financial income and expenses</t>
  </si>
  <si>
    <t>Net financial result</t>
  </si>
  <si>
    <t>Income before taxes</t>
  </si>
  <si>
    <t>Income tax expense</t>
  </si>
  <si>
    <t>Share of profit of equity-accounted investments</t>
  </si>
  <si>
    <t>Impairment of investments in associates and joint ventures</t>
  </si>
  <si>
    <t>Net income</t>
  </si>
  <si>
    <t xml:space="preserve">  of which attributable to shareholders of the parent</t>
  </si>
  <si>
    <t xml:space="preserve">  of which attributable to non-controlling interests</t>
  </si>
  <si>
    <t>Basic EPS (€)</t>
  </si>
  <si>
    <t>Diluted EPS (€)</t>
  </si>
  <si>
    <t>Income Statement</t>
  </si>
  <si>
    <t>Non-cash items:</t>
  </si>
  <si>
    <t>Depreciation of property, plant and equipment</t>
  </si>
  <si>
    <t>Amortization of intangible assets</t>
  </si>
  <si>
    <t>Depreciation of non-current assets</t>
  </si>
  <si>
    <t>Increase/(decrease) in provisions</t>
  </si>
  <si>
    <t>Gains/(losses) on disposals of activities and fixed assets</t>
  </si>
  <si>
    <t>Other non-cash items</t>
  </si>
  <si>
    <t>Income taxes paid, net</t>
  </si>
  <si>
    <t>Operating cash flow</t>
  </si>
  <si>
    <t>Decrease/(increase) in trade receivables</t>
  </si>
  <si>
    <t>Decrease/(increase) in inventories</t>
  </si>
  <si>
    <t>(Decrease)/increase in trade payables</t>
  </si>
  <si>
    <t>Decrease/(increase) in other current assets and liabilities</t>
  </si>
  <si>
    <t>Change in working capital</t>
  </si>
  <si>
    <t>TOTAL I - CASH FROM / (USED IN) OPERATING ACTIVITIES</t>
  </si>
  <si>
    <t>Acquisitions of property, plant and equipment</t>
  </si>
  <si>
    <t>Acquisitions of intangible assets</t>
  </si>
  <si>
    <t>Disposals of property, plant and equipment and intangibles</t>
  </si>
  <si>
    <t>Net capital expenditure</t>
  </si>
  <si>
    <t>Acquisitions and disposals of activities, net of cash acquired and divested</t>
  </si>
  <si>
    <t>Other long-term investments</t>
  </si>
  <si>
    <t>Increase in long-term retirement assets</t>
  </si>
  <si>
    <t>Sub-total</t>
  </si>
  <si>
    <t>TOTAL II - CASH FROM / (USED IN) INVESTING ACTIVITIES</t>
  </si>
  <si>
    <t>Issuance of bonds</t>
  </si>
  <si>
    <t>Repayment of bonds</t>
  </si>
  <si>
    <t>Purchase/(sale) of treasury shares</t>
  </si>
  <si>
    <t>Increase/(decrease) in other financial liabilities and other debt</t>
  </si>
  <si>
    <t>Issuance and repurchase of OCEANEs (equity component)</t>
  </si>
  <si>
    <t>Increase/(reduction) of share capital in cash</t>
  </si>
  <si>
    <t>Transactions with non-controlling interests</t>
  </si>
  <si>
    <t>Dividends paid to Schneider Electric shareholders</t>
  </si>
  <si>
    <t>Dividends paid to minority shareholders</t>
  </si>
  <si>
    <t>TOTAL III - CASH FROM / (USED IN) FINANCING ACTIVITIES</t>
  </si>
  <si>
    <t>TOTAL IV - NET EFFECT OF EXCHANGE RATES</t>
  </si>
  <si>
    <t>TOTAL V - IMPACT OF ASSETS HELD FOR SALE</t>
  </si>
  <si>
    <t>-</t>
  </si>
  <si>
    <t>NET CHANGE IN CASH: I + II + III + IV + V</t>
  </si>
  <si>
    <t>Opening net cash</t>
  </si>
  <si>
    <t>Change in cash</t>
  </si>
  <si>
    <t>CLOSING NET CASH</t>
  </si>
  <si>
    <t>FY2023 (€m)</t>
  </si>
  <si>
    <t>FY2022 (€m)</t>
  </si>
  <si>
    <t>FY2021 (€m)</t>
  </si>
  <si>
    <t>Trend</t>
  </si>
  <si>
    <t>RATIO ANALYSIS</t>
  </si>
  <si>
    <t>Profitability analysis</t>
  </si>
  <si>
    <t xml:space="preserve">ROE </t>
  </si>
  <si>
    <t>ROS</t>
  </si>
  <si>
    <t>Assets turnover</t>
  </si>
  <si>
    <t>Equity Multiplier</t>
  </si>
  <si>
    <t xml:space="preserve">ROE decomposition: Traditional approach </t>
  </si>
  <si>
    <t>ROE = ROS x Assets turnover x Eq. Multiplier</t>
  </si>
  <si>
    <t>Operating management: Profit margins</t>
  </si>
  <si>
    <t>Gross profit margin</t>
  </si>
  <si>
    <t>Operating profit (or EBIT) margin</t>
  </si>
  <si>
    <t xml:space="preserve">Investment management: Working capital management </t>
  </si>
  <si>
    <t>CCC</t>
  </si>
  <si>
    <t xml:space="preserve">Investment management: Non-current asset management </t>
  </si>
  <si>
    <t xml:space="preserve">PP&amp;E turnover </t>
  </si>
  <si>
    <t>Variable</t>
  </si>
  <si>
    <t>∆A/R</t>
  </si>
  <si>
    <t>∆I</t>
  </si>
  <si>
    <t>∆A/P</t>
  </si>
  <si>
    <t>CFO</t>
  </si>
  <si>
    <t xml:space="preserve">Current ratio </t>
  </si>
  <si>
    <t xml:space="preserve">Quick ratio </t>
  </si>
  <si>
    <t>Cash ratio</t>
  </si>
  <si>
    <t xml:space="preserve">Financial management: Solvency analysis </t>
  </si>
  <si>
    <t>Debt to equity</t>
  </si>
  <si>
    <t>Total debt ratio</t>
  </si>
  <si>
    <t>Interest coverage</t>
  </si>
  <si>
    <t>Ratio for investors/shareholders</t>
  </si>
  <si>
    <t>P/E ratio</t>
  </si>
  <si>
    <t>P/B ratio</t>
  </si>
  <si>
    <t xml:space="preserve">Days' receivables </t>
  </si>
  <si>
    <t xml:space="preserve">Days' inventories </t>
  </si>
  <si>
    <t>Days' payables</t>
  </si>
  <si>
    <t xml:space="preserve">Financial management: Liquidity analysis </t>
  </si>
  <si>
    <t>Dividend payout ratio</t>
  </si>
  <si>
    <t>Dividend yield</t>
  </si>
  <si>
    <t>Earnings per share</t>
  </si>
  <si>
    <t>EV</t>
  </si>
  <si>
    <t>ROCE</t>
  </si>
  <si>
    <t xml:space="preserve">To do list : </t>
  </si>
  <si>
    <t>identifier s'il y a des variations significatives ENTRE années (pas par rapport à l'année de base) et les commenter</t>
  </si>
  <si>
    <t>identifier  scissor effect</t>
  </si>
  <si>
    <t>Items</t>
  </si>
  <si>
    <t>Net Sales</t>
  </si>
  <si>
    <t>- Cost of goods sold (COGS)</t>
  </si>
  <si>
    <t>Gross Margin</t>
  </si>
  <si>
    <t>- General and administrative costs (G&amp;A)</t>
  </si>
  <si>
    <t>EBIT</t>
  </si>
  <si>
    <t>EBT/PBT</t>
  </si>
  <si>
    <t>- Corporate Income Tax</t>
  </si>
  <si>
    <t>Net Income / Net Profit</t>
  </si>
  <si>
    <t>Weighted average shares outstanding</t>
  </si>
  <si>
    <t>Dividend per share</t>
  </si>
  <si>
    <t>Non cash and non operating adjustments</t>
  </si>
  <si>
    <t>∆ other current asstes</t>
  </si>
  <si>
    <t>2025 (€m)</t>
  </si>
  <si>
    <t>2024 (€m)</t>
  </si>
  <si>
    <t>2023 (€m)</t>
  </si>
  <si>
    <t>2022 (€m)</t>
  </si>
  <si>
    <t>2021 (€m)</t>
  </si>
  <si>
    <t>(€m)</t>
  </si>
  <si>
    <t>Q1 2026</t>
  </si>
  <si>
    <t>Income Statement for year 1 using by function (€m)</t>
  </si>
  <si>
    <t>Common-size</t>
  </si>
  <si>
    <t xml:space="preserve">INDIRECT METHOD - </t>
  </si>
  <si>
    <t>Q1 2026 (€m)</t>
  </si>
  <si>
    <t>Q1 2026 ($m)</t>
  </si>
  <si>
    <t xml:space="preserve"> </t>
  </si>
  <si>
    <t xml:space="preserve">Balance Sheet </t>
  </si>
  <si>
    <t>Cash Flow Statement</t>
  </si>
  <si>
    <t>FY2026(€m)</t>
  </si>
  <si>
    <t>Trennd</t>
  </si>
  <si>
    <t>2026 (€m)</t>
  </si>
  <si>
    <t>Share price (close price 31 december of each year)</t>
  </si>
  <si>
    <t xml:space="preserve">Tax rate </t>
  </si>
  <si>
    <t>EBITDA (restated)</t>
  </si>
  <si>
    <r>
      <t>EBITA (in £m/</t>
    </r>
    <r>
      <rPr>
        <sz val="11"/>
        <color theme="1"/>
        <rFont val="Times New Roman"/>
        <family val="1"/>
      </rPr>
      <t>€</t>
    </r>
    <r>
      <rPr>
        <sz val="11"/>
        <color theme="1"/>
        <rFont val="Aptos Narrow"/>
        <family val="2"/>
        <scheme val="minor"/>
      </rPr>
      <t>m)</t>
    </r>
  </si>
  <si>
    <t xml:space="preserve">EBITA margin </t>
  </si>
  <si>
    <t>EV/EBITA</t>
  </si>
  <si>
    <t>Net Debt-to-EBITA</t>
  </si>
  <si>
    <t>Dividends distributed (simple convention) $</t>
  </si>
  <si>
    <t>+ANALYSE GENERALE DU BILAN</t>
  </si>
  <si>
    <t xml:space="preserve">+ ANALYSE COMPLETE </t>
  </si>
  <si>
    <t>+ANALYSE CFS CFO, CFI, CFF, FCF et total CF</t>
  </si>
  <si>
    <t>RAJOUTER TOUS LES RATIOS QUI COMPRENNENT EBITA EN UTILISANT L'EBITDA RETRAITE (il faut que y'ai les deux à chaque fois)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</si>
</sst>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quot;€&quot;* #,##0.00_-;_-&quot;€&quot;* &quot;-&quot;??_-;_-@_-"/>
    <numFmt numFmtId="43" formatCode="_-* #,##0.00_-;\-* #,##0.00_-;_-* &quot;-&quot;??_-;_-@_-"/>
    <numFmt numFmtId="164" formatCode="_-[$$-409]* #,##0.00_ ;_-[$$-409]* \-#,##0.00\ ;_-[$$-409]* &quot;-&quot;??_ ;_-@_ "/>
    <numFmt numFmtId="165" formatCode="_([$$-409]* #,##0.00_);_([$$-409]* \(#,##0.00\);_([$$-409]* &quot;-&quot;??_);_(@_)"/>
    <numFmt numFmtId="166" formatCode="_-* #,##0.00_ ;_-* \-#,##0.00\ ;_-* &quot;-&quot;??_ ;_-@_ "/>
    <numFmt numFmtId="167" formatCode="0.0%"/>
    <numFmt numFmtId="168" formatCode="#,##0.0"/>
    <numFmt numFmtId="169" formatCode="0.0"/>
    <numFmt numFmtId="170" formatCode="#,##0.00\ &quot;€&quot;;[Red]\-#,##0.00\ &quot;€&quot;"/>
    <numFmt numFmtId="171" formatCode="_-* #,##0.00\ &quot;€&quot;_-;\-* #,##0.00\ &quot;€&quot;_-;_-* &quot;-&quot;??\ &quot;€&quot;_-;_-@_-"/>
    <numFmt numFmtId="172" formatCode="_-[$$-C09]* #,##0.00_-;\-[$$-C09]* #,##0.00_-;_-[$$-C09]* &quot;-&quot;??_-;_-@_-"/>
  </numFmts>
  <fonts count="25" x14ac:knownFonts="1">
    <font>
      <sz val="11"/>
      <color theme="1"/>
      <name val="Aptos Narrow"/>
      <family val="2"/>
      <scheme val="minor"/>
    </font>
    <font>
      <b/>
      <sz val="11"/>
      <color theme="0"/>
      <name val="Aptos Narrow"/>
      <family val="2"/>
      <scheme val="minor"/>
    </font>
    <font>
      <sz val="11"/>
      <color rgb="FF000000"/>
      <name val="Calibri"/>
      <family val="2"/>
    </font>
    <font>
      <b/>
      <sz val="11"/>
      <color rgb="FF000000"/>
      <name val="Calibri"/>
      <family val="2"/>
    </font>
    <font>
      <sz val="11"/>
      <name val="Calibri"/>
      <family val="2"/>
    </font>
    <font>
      <b/>
      <sz val="11"/>
      <color rgb="FFFFFFFF"/>
      <name val="Calibri"/>
      <family val="2"/>
    </font>
    <font>
      <b/>
      <sz val="11"/>
      <color rgb="FFFFFFFF"/>
      <name val="Aptos Narrow"/>
      <scheme val="minor"/>
    </font>
    <font>
      <sz val="11"/>
      <color theme="1"/>
      <name val="Aptos Narrow"/>
      <scheme val="minor"/>
    </font>
    <font>
      <sz val="11"/>
      <color theme="1"/>
      <name val="Aptos Narrow"/>
      <family val="2"/>
      <scheme val="minor"/>
    </font>
    <font>
      <sz val="11"/>
      <color theme="0"/>
      <name val="Aptos Narrow"/>
      <family val="2"/>
      <scheme val="minor"/>
    </font>
    <font>
      <b/>
      <sz val="11"/>
      <color theme="1"/>
      <name val="Aptos Narrow"/>
      <family val="2"/>
      <scheme val="minor"/>
    </font>
    <font>
      <b/>
      <sz val="11"/>
      <color theme="0"/>
      <name val="Aptos Narrow"/>
      <scheme val="minor"/>
    </font>
    <font>
      <b/>
      <i/>
      <sz val="11"/>
      <color theme="1"/>
      <name val="Aptos Narrow"/>
      <family val="2"/>
      <scheme val="minor"/>
    </font>
    <font>
      <sz val="11"/>
      <color theme="1"/>
      <name val="Times New Roman"/>
      <family val="1"/>
    </font>
    <font>
      <sz val="12"/>
      <color rgb="FF000000"/>
      <name val="Aptos Narrow"/>
      <scheme val="minor"/>
    </font>
    <font>
      <b/>
      <sz val="14"/>
      <color theme="0"/>
      <name val="Aptos Narrow"/>
      <family val="2"/>
      <scheme val="minor"/>
    </font>
    <font>
      <b/>
      <sz val="13"/>
      <color rgb="FFFFFFFF"/>
      <name val="Aptos Narrow"/>
      <family val="2"/>
    </font>
    <font>
      <b/>
      <sz val="13"/>
      <color rgb="FF000000"/>
      <name val="Aptos Narrow"/>
      <family val="2"/>
    </font>
    <font>
      <b/>
      <sz val="13"/>
      <name val="Aptos Narrow"/>
      <family val="2"/>
    </font>
    <font>
      <sz val="13"/>
      <color rgb="FF000000"/>
      <name val="Aptos Narrow"/>
      <family val="2"/>
    </font>
    <font>
      <sz val="13"/>
      <name val="Aptos Narrow"/>
      <family val="2"/>
    </font>
    <font>
      <b/>
      <sz val="13"/>
      <name val="Aptos Narrow"/>
    </font>
    <font>
      <sz val="13"/>
      <name val="Aptos Narrow"/>
    </font>
    <font>
      <b/>
      <sz val="13"/>
      <color rgb="FFFFFFFF"/>
      <name val="Aptos Narrow"/>
    </font>
    <font>
      <b/>
      <sz val="11"/>
      <color theme="1"/>
      <name val="Aptos Narrow"/>
      <scheme val="minor"/>
    </font>
  </fonts>
  <fills count="12">
    <fill>
      <patternFill patternType="none"/>
    </fill>
    <fill>
      <patternFill patternType="gray125"/>
    </fill>
    <fill>
      <patternFill patternType="solid">
        <fgColor theme="1"/>
        <bgColor indexed="64"/>
      </patternFill>
    </fill>
    <fill>
      <patternFill patternType="solid">
        <fgColor rgb="FF000000"/>
        <bgColor indexed="64"/>
      </patternFill>
    </fill>
    <fill>
      <patternFill patternType="solid">
        <fgColor rgb="FF000000"/>
        <bgColor rgb="FF000000"/>
      </patternFill>
    </fill>
    <fill>
      <patternFill patternType="solid">
        <fgColor rgb="FFFFFFFF"/>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2"/>
        <bgColor indexed="64"/>
      </patternFill>
    </fill>
    <fill>
      <patternFill patternType="solid">
        <fgColor rgb="FFFFFF00"/>
        <bgColor indexed="64"/>
      </patternFill>
    </fill>
    <fill>
      <patternFill patternType="solid">
        <fgColor theme="5" tint="0.79998168889431442"/>
        <bgColor indexed="64"/>
      </patternFill>
    </fill>
  </fills>
  <borders count="126">
    <border>
      <left/>
      <right/>
      <top/>
      <bottom/>
      <diagonal/>
    </border>
    <border>
      <left style="medium">
        <color indexed="64"/>
      </left>
      <right style="thin">
        <color indexed="64"/>
      </right>
      <top/>
      <bottom/>
      <diagonal/>
    </border>
    <border>
      <left style="thin">
        <color indexed="64"/>
      </left>
      <right/>
      <top/>
      <bottom/>
      <diagonal/>
    </border>
    <border>
      <left style="thin">
        <color indexed="64"/>
      </left>
      <right/>
      <top style="thin">
        <color indexed="64"/>
      </top>
      <bottom style="double">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top/>
      <bottom style="thin">
        <color theme="0"/>
      </bottom>
      <diagonal/>
    </border>
    <border>
      <left style="thin">
        <color theme="0"/>
      </left>
      <right/>
      <top/>
      <bottom/>
      <diagonal/>
    </border>
    <border>
      <left/>
      <right style="thin">
        <color theme="0"/>
      </right>
      <top/>
      <bottom/>
      <diagonal/>
    </border>
    <border>
      <left/>
      <right/>
      <top style="thin">
        <color rgb="FF000000"/>
      </top>
      <bottom style="double">
        <color rgb="FF000000"/>
      </bottom>
      <diagonal/>
    </border>
    <border>
      <left style="thin">
        <color indexed="64"/>
      </left>
      <right/>
      <top style="thin">
        <color rgb="FF000000"/>
      </top>
      <bottom style="double">
        <color rgb="FF000000"/>
      </bottom>
      <diagonal/>
    </border>
    <border>
      <left style="thin">
        <color indexed="64"/>
      </left>
      <right style="thin">
        <color indexed="64"/>
      </right>
      <top style="thin">
        <color indexed="64"/>
      </top>
      <bottom style="double">
        <color indexed="64"/>
      </bottom>
      <diagonal/>
    </border>
    <border>
      <left/>
      <right style="thin">
        <color indexed="64"/>
      </right>
      <top style="thin">
        <color indexed="64"/>
      </top>
      <bottom style="thin">
        <color theme="0"/>
      </bottom>
      <diagonal/>
    </border>
    <border>
      <left style="thin">
        <color indexed="64"/>
      </left>
      <right style="thin">
        <color indexed="64"/>
      </right>
      <top/>
      <bottom/>
      <diagonal/>
    </border>
    <border>
      <left style="medium">
        <color rgb="FF000000"/>
      </left>
      <right/>
      <top/>
      <bottom/>
      <diagonal/>
    </border>
    <border>
      <left style="thin">
        <color rgb="FF000000"/>
      </left>
      <right/>
      <top/>
      <bottom/>
      <diagonal/>
    </border>
    <border>
      <left/>
      <right style="thin">
        <color auto="1"/>
      </right>
      <top/>
      <bottom/>
      <diagonal/>
    </border>
    <border>
      <left style="thin">
        <color rgb="FF000000"/>
      </left>
      <right/>
      <top/>
      <bottom style="thin">
        <color rgb="FF000000"/>
      </bottom>
      <diagonal/>
    </border>
    <border>
      <left style="thin">
        <color rgb="FF000000"/>
      </left>
      <right/>
      <top style="thin">
        <color rgb="FF000000"/>
      </top>
      <bottom/>
      <diagonal/>
    </border>
    <border>
      <left style="thin">
        <color rgb="FF000000"/>
      </left>
      <right/>
      <top style="double">
        <color rgb="FF000000"/>
      </top>
      <bottom/>
      <diagonal/>
    </border>
    <border>
      <left/>
      <right/>
      <top style="medium">
        <color rgb="FF000000"/>
      </top>
      <bottom style="thin">
        <color rgb="FF000000"/>
      </bottom>
      <diagonal/>
    </border>
    <border>
      <left style="medium">
        <color rgb="FF000000"/>
      </left>
      <right/>
      <top/>
      <bottom style="medium">
        <color rgb="FF000000"/>
      </bottom>
      <diagonal/>
    </border>
    <border>
      <left style="thin">
        <color rgb="FF000000"/>
      </left>
      <right/>
      <top style="double">
        <color rgb="FF000000"/>
      </top>
      <bottom style="thin">
        <color rgb="FF000000"/>
      </bottom>
      <diagonal/>
    </border>
    <border>
      <left/>
      <right/>
      <top style="medium">
        <color indexed="64"/>
      </top>
      <bottom/>
      <diagonal/>
    </border>
    <border>
      <left/>
      <right/>
      <top/>
      <bottom style="thin">
        <color indexed="64"/>
      </bottom>
      <diagonal/>
    </border>
    <border>
      <left/>
      <right/>
      <top style="thin">
        <color indexed="64"/>
      </top>
      <bottom/>
      <diagonal/>
    </border>
    <border>
      <left/>
      <right/>
      <top/>
      <bottom style="medium">
        <color indexed="64"/>
      </bottom>
      <diagonal/>
    </border>
    <border>
      <left/>
      <right/>
      <top style="thin">
        <color rgb="FF000000"/>
      </top>
      <bottom/>
      <diagonal/>
    </border>
    <border>
      <left/>
      <right/>
      <top style="double">
        <color rgb="FF000000"/>
      </top>
      <bottom/>
      <diagonal/>
    </border>
    <border>
      <left/>
      <right/>
      <top/>
      <bottom style="thin">
        <color rgb="FF000000"/>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style="thin">
        <color indexed="64"/>
      </left>
      <right/>
      <top/>
      <bottom style="thin">
        <color indexed="64"/>
      </bottom>
      <diagonal/>
    </border>
    <border>
      <left/>
      <right/>
      <top style="thin">
        <color indexed="64"/>
      </top>
      <bottom style="double">
        <color indexed="64"/>
      </bottom>
      <diagonal/>
    </border>
    <border>
      <left/>
      <right style="medium">
        <color indexed="64"/>
      </right>
      <top/>
      <bottom style="thin">
        <color indexed="64"/>
      </bottom>
      <diagonal/>
    </border>
    <border>
      <left/>
      <right/>
      <top style="double">
        <color rgb="FF000000"/>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rgb="FF000000"/>
      </top>
      <bottom style="thin">
        <color indexed="64"/>
      </bottom>
      <diagonal/>
    </border>
    <border>
      <left style="thin">
        <color rgb="FF000000"/>
      </left>
      <right style="thin">
        <color indexed="64"/>
      </right>
      <top style="double">
        <color rgb="FF000000"/>
      </top>
      <bottom/>
      <diagonal/>
    </border>
    <border>
      <left style="thin">
        <color rgb="FF000000"/>
      </left>
      <right style="thin">
        <color indexed="64"/>
      </right>
      <top/>
      <bottom style="thin">
        <color rgb="FF000000"/>
      </bottom>
      <diagonal/>
    </border>
    <border>
      <left style="medium">
        <color indexed="64"/>
      </left>
      <right/>
      <top style="medium">
        <color indexed="64"/>
      </top>
      <bottom/>
      <diagonal/>
    </border>
    <border>
      <left style="medium">
        <color indexed="64"/>
      </left>
      <right style="thin">
        <color rgb="FF000000"/>
      </right>
      <top/>
      <bottom style="thin">
        <color indexed="64"/>
      </bottom>
      <diagonal/>
    </border>
    <border>
      <left/>
      <right style="medium">
        <color indexed="64"/>
      </right>
      <top style="medium">
        <color rgb="FF000000"/>
      </top>
      <bottom style="thin">
        <color rgb="FF000000"/>
      </bottom>
      <diagonal/>
    </border>
    <border>
      <left style="medium">
        <color indexed="64"/>
      </left>
      <right style="thin">
        <color rgb="FF000000"/>
      </right>
      <top/>
      <bottom/>
      <diagonal/>
    </border>
    <border>
      <left style="thin">
        <color rgb="FF000000"/>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rgb="FF000000"/>
      </top>
      <bottom style="thin">
        <color indexed="64"/>
      </bottom>
      <diagonal/>
    </border>
    <border>
      <left style="thin">
        <color rgb="FF000000"/>
      </left>
      <right style="medium">
        <color indexed="64"/>
      </right>
      <top style="thin">
        <color rgb="FF000000"/>
      </top>
      <bottom/>
      <diagonal/>
    </border>
    <border>
      <left style="thin">
        <color rgb="FF000000"/>
      </left>
      <right style="medium">
        <color indexed="64"/>
      </right>
      <top style="double">
        <color rgb="FF000000"/>
      </top>
      <bottom/>
      <diagonal/>
    </border>
    <border>
      <left style="thin">
        <color rgb="FF000000"/>
      </left>
      <right style="medium">
        <color indexed="64"/>
      </right>
      <top/>
      <bottom style="thin">
        <color rgb="FF000000"/>
      </bottom>
      <diagonal/>
    </border>
    <border>
      <left style="medium">
        <color indexed="64"/>
      </left>
      <right style="thin">
        <color rgb="FF000000"/>
      </right>
      <top/>
      <bottom style="medium">
        <color indexed="64"/>
      </bottom>
      <diagonal/>
    </border>
    <border>
      <left style="thin">
        <color rgb="FF000000"/>
      </left>
      <right/>
      <top/>
      <bottom style="medium">
        <color indexed="64"/>
      </bottom>
      <diagonal/>
    </border>
    <border>
      <left style="thin">
        <color rgb="FF000000"/>
      </left>
      <right style="thin">
        <color indexed="64"/>
      </right>
      <top/>
      <bottom style="medium">
        <color indexed="64"/>
      </bottom>
      <diagonal/>
    </border>
    <border>
      <left style="thin">
        <color rgb="FF000000"/>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thin">
        <color rgb="FF000000"/>
      </left>
      <right style="medium">
        <color indexed="64"/>
      </right>
      <top style="double">
        <color rgb="FF000000"/>
      </top>
      <bottom style="thin">
        <color rgb="FF000000"/>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
      <left style="thin">
        <color indexed="64"/>
      </left>
      <right style="thin">
        <color indexed="64"/>
      </right>
      <top style="double">
        <color rgb="FF000000"/>
      </top>
      <bottom/>
      <diagonal/>
    </border>
    <border>
      <left style="thin">
        <color indexed="64"/>
      </left>
      <right style="thin">
        <color indexed="64"/>
      </right>
      <top style="double">
        <color rgb="FF000000"/>
      </top>
      <bottom style="thin">
        <color rgb="FF000000"/>
      </bottom>
      <diagonal/>
    </border>
    <border>
      <left style="thin">
        <color indexed="64"/>
      </left>
      <right style="thin">
        <color indexed="64"/>
      </right>
      <top style="thin">
        <color rgb="FF000000"/>
      </top>
      <bottom style="medium">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rgb="FF000000"/>
      </left>
      <right/>
      <top style="thin">
        <color rgb="FF000000"/>
      </top>
      <bottom style="double">
        <color rgb="FF000000"/>
      </bottom>
      <diagonal/>
    </border>
    <border>
      <left style="thin">
        <color indexed="64"/>
      </left>
      <right style="thin">
        <color indexed="64"/>
      </right>
      <top style="thin">
        <color theme="0"/>
      </top>
      <bottom/>
      <diagonal/>
    </border>
    <border>
      <left style="medium">
        <color rgb="FF000000"/>
      </left>
      <right/>
      <top style="medium">
        <color rgb="FF000000"/>
      </top>
      <bottom style="medium">
        <color rgb="FF000000"/>
      </bottom>
      <diagonal/>
    </border>
    <border>
      <left style="medium">
        <color rgb="FF000000"/>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style="medium">
        <color rgb="FF000000"/>
      </right>
      <top style="medium">
        <color rgb="FF000000"/>
      </top>
      <bottom style="medium">
        <color rgb="FF000000"/>
      </bottom>
      <diagonal/>
    </border>
    <border>
      <left style="medium">
        <color rgb="FF000000"/>
      </left>
      <right style="medium">
        <color indexed="64"/>
      </right>
      <top style="medium">
        <color rgb="FF000000"/>
      </top>
      <bottom style="medium">
        <color rgb="FF000000"/>
      </bottom>
      <diagonal/>
    </border>
    <border>
      <left style="medium">
        <color indexed="64"/>
      </left>
      <right style="medium">
        <color rgb="FF000000"/>
      </right>
      <top style="medium">
        <color rgb="FF000000"/>
      </top>
      <bottom/>
      <diagonal/>
    </border>
    <border>
      <left style="medium">
        <color rgb="FF000000"/>
      </left>
      <right style="medium">
        <color indexed="64"/>
      </right>
      <top style="medium">
        <color rgb="FF000000"/>
      </top>
      <bottom/>
      <diagonal/>
    </border>
    <border>
      <left style="medium">
        <color indexed="64"/>
      </left>
      <right style="medium">
        <color rgb="FF000000"/>
      </right>
      <top/>
      <bottom/>
      <diagonal/>
    </border>
    <border>
      <left style="medium">
        <color rgb="FF000000"/>
      </left>
      <right style="medium">
        <color indexed="64"/>
      </right>
      <top/>
      <bottom/>
      <diagonal/>
    </border>
    <border>
      <left style="medium">
        <color indexed="64"/>
      </left>
      <right style="medium">
        <color rgb="FF000000"/>
      </right>
      <top/>
      <bottom style="medium">
        <color rgb="FF000000"/>
      </bottom>
      <diagonal/>
    </border>
    <border>
      <left style="medium">
        <color rgb="FF000000"/>
      </left>
      <right style="medium">
        <color indexed="64"/>
      </right>
      <top/>
      <bottom style="medium">
        <color rgb="FF000000"/>
      </bottom>
      <diagonal/>
    </border>
    <border>
      <left style="medium">
        <color indexed="64"/>
      </left>
      <right style="medium">
        <color rgb="FF000000"/>
      </right>
      <top style="medium">
        <color rgb="FF000000"/>
      </top>
      <bottom style="medium">
        <color indexed="64"/>
      </bottom>
      <diagonal/>
    </border>
    <border>
      <left style="medium">
        <color rgb="FF000000"/>
      </left>
      <right style="medium">
        <color rgb="FF000000"/>
      </right>
      <top style="medium">
        <color rgb="FF000000"/>
      </top>
      <bottom style="medium">
        <color indexed="64"/>
      </bottom>
      <diagonal/>
    </border>
    <border>
      <left style="medium">
        <color rgb="FF000000"/>
      </left>
      <right/>
      <top style="medium">
        <color rgb="FF000000"/>
      </top>
      <bottom style="medium">
        <color indexed="64"/>
      </bottom>
      <diagonal/>
    </border>
    <border>
      <left style="medium">
        <color rgb="FF000000"/>
      </left>
      <right style="medium">
        <color indexed="64"/>
      </right>
      <top style="medium">
        <color rgb="FF000000"/>
      </top>
      <bottom style="medium">
        <color indexed="64"/>
      </bottom>
      <diagonal/>
    </border>
    <border>
      <left/>
      <right style="thin">
        <color indexed="64"/>
      </right>
      <top style="thin">
        <color indexed="64"/>
      </top>
      <bottom style="double">
        <color indexed="64"/>
      </bottom>
      <diagonal/>
    </border>
    <border>
      <left/>
      <right/>
      <top style="medium">
        <color indexed="64"/>
      </top>
      <bottom style="thin">
        <color rgb="FF000000"/>
      </bottom>
      <diagonal/>
    </border>
    <border>
      <left style="thin">
        <color indexed="64"/>
      </left>
      <right/>
      <top style="medium">
        <color indexed="64"/>
      </top>
      <bottom style="thin">
        <color indexed="64"/>
      </bottom>
      <diagonal/>
    </border>
    <border>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44" fontId="8" fillId="0" borderId="0" applyFont="0" applyFill="0" applyBorder="0" applyAlignment="0" applyProtection="0"/>
    <xf numFmtId="9" fontId="8" fillId="0" borderId="0" applyFont="0" applyFill="0" applyBorder="0" applyAlignment="0" applyProtection="0"/>
    <xf numFmtId="171" fontId="8" fillId="0" borderId="0" applyFont="0" applyFill="0" applyBorder="0" applyAlignment="0" applyProtection="0"/>
  </cellStyleXfs>
  <cellXfs count="382">
    <xf numFmtId="0" fontId="0" fillId="0" borderId="0" xfId="0"/>
    <xf numFmtId="0" fontId="1" fillId="2" borderId="0" xfId="0" applyFont="1" applyFill="1"/>
    <xf numFmtId="164" fontId="3" fillId="0" borderId="3" xfId="0" applyNumberFormat="1" applyFont="1" applyBorder="1"/>
    <xf numFmtId="0" fontId="2" fillId="0" borderId="0" xfId="0" applyFont="1"/>
    <xf numFmtId="0" fontId="3" fillId="0" borderId="0" xfId="0" applyFont="1"/>
    <xf numFmtId="0" fontId="5" fillId="4" borderId="5" xfId="0" applyFont="1" applyFill="1" applyBorder="1"/>
    <xf numFmtId="0" fontId="2" fillId="0" borderId="9" xfId="0" applyFont="1" applyBorder="1"/>
    <xf numFmtId="0" fontId="3" fillId="0" borderId="9" xfId="0" applyFont="1" applyBorder="1"/>
    <xf numFmtId="0" fontId="2" fillId="0" borderId="13" xfId="0" applyFont="1" applyBorder="1"/>
    <xf numFmtId="0" fontId="3" fillId="0" borderId="14" xfId="0" applyFont="1" applyBorder="1"/>
    <xf numFmtId="0" fontId="2" fillId="0" borderId="15" xfId="0" applyFont="1" applyBorder="1"/>
    <xf numFmtId="164" fontId="0" fillId="0" borderId="0" xfId="0" applyNumberFormat="1"/>
    <xf numFmtId="164" fontId="2" fillId="0" borderId="10" xfId="0" applyNumberFormat="1" applyFont="1" applyBorder="1"/>
    <xf numFmtId="165" fontId="2" fillId="0" borderId="11" xfId="0" applyNumberFormat="1" applyFont="1" applyBorder="1"/>
    <xf numFmtId="164" fontId="2" fillId="0" borderId="12" xfId="0" applyNumberFormat="1" applyFont="1" applyBorder="1"/>
    <xf numFmtId="165" fontId="3" fillId="0" borderId="3" xfId="0" applyNumberFormat="1" applyFont="1" applyBorder="1"/>
    <xf numFmtId="165" fontId="0" fillId="0" borderId="0" xfId="0" applyNumberFormat="1"/>
    <xf numFmtId="165" fontId="2" fillId="0" borderId="10" xfId="0" applyNumberFormat="1" applyFont="1" applyBorder="1"/>
    <xf numFmtId="165" fontId="2" fillId="0" borderId="12" xfId="0" applyNumberFormat="1" applyFont="1" applyBorder="1"/>
    <xf numFmtId="0" fontId="0" fillId="0" borderId="0" xfId="0" applyAlignment="1">
      <alignment horizontal="center"/>
    </xf>
    <xf numFmtId="0" fontId="1" fillId="2" borderId="20" xfId="0" applyFont="1" applyFill="1" applyBorder="1" applyAlignment="1">
      <alignment horizontal="center"/>
    </xf>
    <xf numFmtId="10" fontId="0" fillId="0" borderId="0" xfId="0" applyNumberFormat="1" applyAlignment="1">
      <alignment horizontal="center"/>
    </xf>
    <xf numFmtId="164" fontId="0" fillId="0" borderId="0" xfId="0" applyNumberFormat="1" applyAlignment="1">
      <alignment horizontal="center"/>
    </xf>
    <xf numFmtId="0" fontId="1" fillId="2" borderId="0" xfId="0" applyFont="1" applyFill="1" applyAlignment="1">
      <alignment horizontal="center"/>
    </xf>
    <xf numFmtId="0" fontId="1" fillId="2" borderId="22" xfId="0" applyFont="1" applyFill="1" applyBorder="1" applyAlignment="1">
      <alignment horizontal="center"/>
    </xf>
    <xf numFmtId="0" fontId="1" fillId="2" borderId="26" xfId="0" applyFont="1" applyFill="1" applyBorder="1" applyAlignment="1">
      <alignment horizontal="center"/>
    </xf>
    <xf numFmtId="166" fontId="2" fillId="5" borderId="29" xfId="0" applyNumberFormat="1" applyFont="1" applyFill="1" applyBorder="1"/>
    <xf numFmtId="166" fontId="3" fillId="5" borderId="29" xfId="0" applyNumberFormat="1" applyFont="1" applyFill="1" applyBorder="1"/>
    <xf numFmtId="166" fontId="3" fillId="5" borderId="32" xfId="0" applyNumberFormat="1" applyFont="1" applyFill="1" applyBorder="1"/>
    <xf numFmtId="166" fontId="2" fillId="5" borderId="33" xfId="0" applyNumberFormat="1" applyFont="1" applyFill="1" applyBorder="1"/>
    <xf numFmtId="166" fontId="2" fillId="5" borderId="32" xfId="0" applyNumberFormat="1" applyFont="1" applyFill="1" applyBorder="1"/>
    <xf numFmtId="0" fontId="0" fillId="5" borderId="0" xfId="0" applyFill="1"/>
    <xf numFmtId="0" fontId="6" fillId="3" borderId="34" xfId="0" applyFont="1" applyFill="1" applyBorder="1" applyAlignment="1">
      <alignment horizontal="center"/>
    </xf>
    <xf numFmtId="166" fontId="3" fillId="5" borderId="31" xfId="0" applyNumberFormat="1" applyFont="1" applyFill="1" applyBorder="1"/>
    <xf numFmtId="166" fontId="3" fillId="5" borderId="33" xfId="0" applyNumberFormat="1" applyFont="1" applyFill="1" applyBorder="1"/>
    <xf numFmtId="166" fontId="3" fillId="5" borderId="36" xfId="0" applyNumberFormat="1" applyFont="1" applyFill="1" applyBorder="1"/>
    <xf numFmtId="164" fontId="2" fillId="0" borderId="0" xfId="0" applyNumberFormat="1" applyFont="1"/>
    <xf numFmtId="0" fontId="1" fillId="2" borderId="53" xfId="0" applyFont="1" applyFill="1" applyBorder="1"/>
    <xf numFmtId="0" fontId="1" fillId="2" borderId="38" xfId="0" applyFont="1" applyFill="1" applyBorder="1"/>
    <xf numFmtId="0" fontId="1" fillId="2" borderId="55" xfId="0" applyFont="1" applyFill="1" applyBorder="1"/>
    <xf numFmtId="0" fontId="5" fillId="3" borderId="0" xfId="0" applyFont="1" applyFill="1" applyAlignment="1">
      <alignment horizontal="center"/>
    </xf>
    <xf numFmtId="10" fontId="2" fillId="0" borderId="0" xfId="0" applyNumberFormat="1" applyFont="1" applyAlignment="1">
      <alignment horizontal="center"/>
    </xf>
    <xf numFmtId="0" fontId="5" fillId="3" borderId="0" xfId="0" applyFont="1" applyFill="1"/>
    <xf numFmtId="164" fontId="5" fillId="3" borderId="0" xfId="0" applyNumberFormat="1" applyFont="1" applyFill="1"/>
    <xf numFmtId="10" fontId="5" fillId="3" borderId="0" xfId="0" applyNumberFormat="1" applyFont="1" applyFill="1" applyAlignment="1">
      <alignment horizontal="center"/>
    </xf>
    <xf numFmtId="165" fontId="2" fillId="0" borderId="0" xfId="0" applyNumberFormat="1" applyFont="1"/>
    <xf numFmtId="165" fontId="5" fillId="3" borderId="0" xfId="0" applyNumberFormat="1" applyFont="1" applyFill="1"/>
    <xf numFmtId="0" fontId="5" fillId="4" borderId="37" xfId="0" applyFont="1" applyFill="1" applyBorder="1" applyAlignment="1">
      <alignment horizontal="center"/>
    </xf>
    <xf numFmtId="10" fontId="5" fillId="4" borderId="37" xfId="2" applyNumberFormat="1" applyFont="1" applyFill="1" applyBorder="1" applyAlignment="1">
      <alignment horizontal="center"/>
    </xf>
    <xf numFmtId="0" fontId="5" fillId="4" borderId="6" xfId="0" applyFont="1" applyFill="1" applyBorder="1" applyAlignment="1">
      <alignment horizontal="center"/>
    </xf>
    <xf numFmtId="0" fontId="5" fillId="4" borderId="7" xfId="0" applyFont="1" applyFill="1" applyBorder="1" applyAlignment="1">
      <alignment horizontal="center"/>
    </xf>
    <xf numFmtId="0" fontId="5" fillId="4" borderId="8" xfId="0" applyFont="1" applyFill="1" applyBorder="1" applyAlignment="1">
      <alignment horizontal="center"/>
    </xf>
    <xf numFmtId="10" fontId="0" fillId="0" borderId="0" xfId="2" applyNumberFormat="1" applyFont="1" applyAlignment="1">
      <alignment horizontal="center"/>
    </xf>
    <xf numFmtId="10" fontId="3" fillId="0" borderId="0" xfId="2" applyNumberFormat="1" applyFont="1" applyAlignment="1">
      <alignment horizontal="center"/>
    </xf>
    <xf numFmtId="10" fontId="2" fillId="0" borderId="10" xfId="2" applyNumberFormat="1" applyFont="1" applyBorder="1" applyAlignment="1">
      <alignment horizontal="center"/>
    </xf>
    <xf numFmtId="10" fontId="2" fillId="0" borderId="11" xfId="2" applyNumberFormat="1" applyFont="1" applyBorder="1" applyAlignment="1">
      <alignment horizontal="center"/>
    </xf>
    <xf numFmtId="10" fontId="2" fillId="0" borderId="12" xfId="2" applyNumberFormat="1" applyFont="1" applyBorder="1" applyAlignment="1">
      <alignment horizontal="center"/>
    </xf>
    <xf numFmtId="10" fontId="3" fillId="0" borderId="3" xfId="2" applyNumberFormat="1" applyFont="1" applyBorder="1" applyAlignment="1">
      <alignment horizontal="center"/>
    </xf>
    <xf numFmtId="10" fontId="2" fillId="0" borderId="0" xfId="2" applyNumberFormat="1" applyFont="1" applyAlignment="1">
      <alignment horizontal="center"/>
    </xf>
    <xf numFmtId="166" fontId="2" fillId="5" borderId="29" xfId="0" applyNumberFormat="1" applyFont="1" applyFill="1" applyBorder="1" applyAlignment="1">
      <alignment horizontal="center"/>
    </xf>
    <xf numFmtId="166" fontId="2" fillId="5" borderId="0" xfId="0" applyNumberFormat="1" applyFont="1" applyFill="1" applyAlignment="1">
      <alignment horizontal="center"/>
    </xf>
    <xf numFmtId="166" fontId="3" fillId="5" borderId="32" xfId="0" applyNumberFormat="1" applyFont="1" applyFill="1" applyBorder="1" applyAlignment="1">
      <alignment horizontal="center"/>
    </xf>
    <xf numFmtId="166" fontId="3" fillId="5" borderId="41" xfId="0" applyNumberFormat="1" applyFont="1" applyFill="1" applyBorder="1" applyAlignment="1">
      <alignment horizontal="center"/>
    </xf>
    <xf numFmtId="166" fontId="3" fillId="5" borderId="0" xfId="0" applyNumberFormat="1" applyFont="1" applyFill="1" applyAlignment="1">
      <alignment horizontal="center"/>
    </xf>
    <xf numFmtId="166" fontId="2" fillId="5" borderId="33" xfId="0" applyNumberFormat="1" applyFont="1" applyFill="1" applyBorder="1" applyAlignment="1">
      <alignment horizontal="center"/>
    </xf>
    <xf numFmtId="166" fontId="2" fillId="5" borderId="42" xfId="0" applyNumberFormat="1" applyFont="1" applyFill="1" applyBorder="1" applyAlignment="1">
      <alignment horizontal="center"/>
    </xf>
    <xf numFmtId="166" fontId="2" fillId="5" borderId="29" xfId="0" applyNumberFormat="1" applyFont="1" applyFill="1" applyBorder="1" applyAlignment="1">
      <alignment horizontal="right"/>
    </xf>
    <xf numFmtId="166" fontId="2" fillId="5" borderId="0" xfId="0" applyNumberFormat="1" applyFont="1" applyFill="1" applyAlignment="1">
      <alignment horizontal="right"/>
    </xf>
    <xf numFmtId="166" fontId="3" fillId="5" borderId="47" xfId="0" applyNumberFormat="1" applyFont="1" applyFill="1" applyBorder="1" applyAlignment="1">
      <alignment horizontal="right"/>
    </xf>
    <xf numFmtId="166" fontId="3" fillId="5" borderId="48" xfId="0" applyNumberFormat="1" applyFont="1" applyFill="1" applyBorder="1" applyAlignment="1">
      <alignment horizontal="right"/>
    </xf>
    <xf numFmtId="166" fontId="3" fillId="5" borderId="49" xfId="0" applyNumberFormat="1" applyFont="1" applyFill="1" applyBorder="1" applyAlignment="1">
      <alignment horizontal="right"/>
    </xf>
    <xf numFmtId="166" fontId="3" fillId="5" borderId="39" xfId="0" applyNumberFormat="1" applyFont="1" applyFill="1" applyBorder="1" applyAlignment="1">
      <alignment horizontal="right"/>
    </xf>
    <xf numFmtId="166" fontId="3" fillId="5" borderId="51" xfId="0" applyNumberFormat="1" applyFont="1" applyFill="1" applyBorder="1" applyAlignment="1">
      <alignment horizontal="right"/>
    </xf>
    <xf numFmtId="166" fontId="3" fillId="5" borderId="52" xfId="0" applyNumberFormat="1" applyFont="1" applyFill="1" applyBorder="1" applyAlignment="1">
      <alignment horizontal="right"/>
    </xf>
    <xf numFmtId="166" fontId="3" fillId="5" borderId="32" xfId="0" applyNumberFormat="1" applyFont="1" applyFill="1" applyBorder="1" applyAlignment="1">
      <alignment horizontal="right"/>
    </xf>
    <xf numFmtId="166" fontId="3" fillId="5" borderId="41" xfId="0" applyNumberFormat="1" applyFont="1" applyFill="1" applyBorder="1" applyAlignment="1">
      <alignment horizontal="right"/>
    </xf>
    <xf numFmtId="166" fontId="3" fillId="5" borderId="0" xfId="0" applyNumberFormat="1" applyFont="1" applyFill="1" applyAlignment="1">
      <alignment horizontal="right"/>
    </xf>
    <xf numFmtId="166" fontId="2" fillId="5" borderId="33" xfId="0" applyNumberFormat="1" applyFont="1" applyFill="1" applyBorder="1" applyAlignment="1">
      <alignment horizontal="right"/>
    </xf>
    <xf numFmtId="166" fontId="2" fillId="5" borderId="42" xfId="0" applyNumberFormat="1" applyFont="1" applyFill="1" applyBorder="1" applyAlignment="1">
      <alignment horizontal="right"/>
    </xf>
    <xf numFmtId="166" fontId="2" fillId="5" borderId="31" xfId="0" applyNumberFormat="1" applyFont="1" applyFill="1" applyBorder="1" applyAlignment="1">
      <alignment horizontal="right"/>
    </xf>
    <xf numFmtId="166" fontId="2" fillId="5" borderId="43" xfId="0" applyNumberFormat="1" applyFont="1" applyFill="1" applyBorder="1" applyAlignment="1">
      <alignment horizontal="right"/>
    </xf>
    <xf numFmtId="2" fontId="2" fillId="5" borderId="29" xfId="0" applyNumberFormat="1" applyFont="1" applyFill="1" applyBorder="1" applyAlignment="1">
      <alignment horizontal="right"/>
    </xf>
    <xf numFmtId="2" fontId="2" fillId="5" borderId="0" xfId="0" applyNumberFormat="1" applyFont="1" applyFill="1" applyAlignment="1">
      <alignment horizontal="right"/>
    </xf>
    <xf numFmtId="10" fontId="2" fillId="5" borderId="29" xfId="2" applyNumberFormat="1" applyFont="1" applyFill="1" applyBorder="1" applyAlignment="1">
      <alignment horizontal="center"/>
    </xf>
    <xf numFmtId="10" fontId="3" fillId="5" borderId="47" xfId="2" applyNumberFormat="1" applyFont="1" applyFill="1" applyBorder="1" applyAlignment="1">
      <alignment horizontal="center"/>
    </xf>
    <xf numFmtId="10" fontId="3" fillId="5" borderId="49" xfId="2" applyNumberFormat="1" applyFont="1" applyFill="1" applyBorder="1" applyAlignment="1">
      <alignment horizontal="center"/>
    </xf>
    <xf numFmtId="10" fontId="3" fillId="5" borderId="51" xfId="2" applyNumberFormat="1" applyFont="1" applyFill="1" applyBorder="1" applyAlignment="1">
      <alignment horizontal="center"/>
    </xf>
    <xf numFmtId="10" fontId="3" fillId="5" borderId="32" xfId="2" applyNumberFormat="1" applyFont="1" applyFill="1" applyBorder="1" applyAlignment="1">
      <alignment horizontal="center"/>
    </xf>
    <xf numFmtId="10" fontId="2" fillId="5" borderId="33" xfId="2" applyNumberFormat="1" applyFont="1" applyFill="1" applyBorder="1" applyAlignment="1">
      <alignment horizontal="center"/>
    </xf>
    <xf numFmtId="10" fontId="2" fillId="5" borderId="31" xfId="2" applyNumberFormat="1" applyFont="1" applyFill="1" applyBorder="1" applyAlignment="1">
      <alignment horizontal="center"/>
    </xf>
    <xf numFmtId="10" fontId="2" fillId="5" borderId="57" xfId="2" applyNumberFormat="1" applyFont="1" applyFill="1" applyBorder="1" applyAlignment="1">
      <alignment horizontal="center"/>
    </xf>
    <xf numFmtId="10" fontId="2" fillId="5" borderId="58" xfId="2" applyNumberFormat="1" applyFont="1" applyFill="1" applyBorder="1" applyAlignment="1">
      <alignment horizontal="center"/>
    </xf>
    <xf numFmtId="10" fontId="3" fillId="5" borderId="46" xfId="2" applyNumberFormat="1" applyFont="1" applyFill="1" applyBorder="1" applyAlignment="1">
      <alignment horizontal="center"/>
    </xf>
    <xf numFmtId="10" fontId="3" fillId="5" borderId="59" xfId="2" applyNumberFormat="1" applyFont="1" applyFill="1" applyBorder="1" applyAlignment="1">
      <alignment horizontal="center"/>
    </xf>
    <xf numFmtId="10" fontId="3" fillId="5" borderId="60" xfId="2" applyNumberFormat="1" applyFont="1" applyFill="1" applyBorder="1" applyAlignment="1">
      <alignment horizontal="center"/>
    </xf>
    <xf numFmtId="10" fontId="3" fillId="5" borderId="57" xfId="2" applyNumberFormat="1" applyFont="1" applyFill="1" applyBorder="1" applyAlignment="1">
      <alignment horizontal="center"/>
    </xf>
    <xf numFmtId="10" fontId="2" fillId="5" borderId="61" xfId="2" applyNumberFormat="1" applyFont="1" applyFill="1" applyBorder="1" applyAlignment="1">
      <alignment horizontal="center"/>
    </xf>
    <xf numFmtId="10" fontId="2" fillId="5" borderId="62" xfId="2" applyNumberFormat="1" applyFont="1" applyFill="1" applyBorder="1" applyAlignment="1">
      <alignment horizontal="center"/>
    </xf>
    <xf numFmtId="0" fontId="6" fillId="3" borderId="63" xfId="0" applyFont="1" applyFill="1" applyBorder="1" applyAlignment="1">
      <alignment horizontal="center"/>
    </xf>
    <xf numFmtId="0" fontId="0" fillId="2" borderId="37" xfId="0" applyFill="1" applyBorder="1"/>
    <xf numFmtId="0" fontId="9" fillId="2" borderId="6" xfId="0" applyFont="1" applyFill="1" applyBorder="1"/>
    <xf numFmtId="0" fontId="9" fillId="2" borderId="37" xfId="0" applyFont="1" applyFill="1" applyBorder="1"/>
    <xf numFmtId="0" fontId="9" fillId="2" borderId="8" xfId="0" applyFont="1" applyFill="1" applyBorder="1"/>
    <xf numFmtId="0" fontId="7" fillId="2" borderId="64" xfId="0" applyFont="1" applyFill="1" applyBorder="1"/>
    <xf numFmtId="0" fontId="6" fillId="3" borderId="65" xfId="0" applyFont="1" applyFill="1" applyBorder="1" applyAlignment="1">
      <alignment horizontal="center"/>
    </xf>
    <xf numFmtId="0" fontId="2" fillId="5" borderId="66" xfId="0" applyFont="1" applyFill="1" applyBorder="1"/>
    <xf numFmtId="10" fontId="2" fillId="5" borderId="67" xfId="2" applyNumberFormat="1" applyFont="1" applyFill="1" applyBorder="1" applyAlignment="1">
      <alignment horizontal="center"/>
    </xf>
    <xf numFmtId="0" fontId="3" fillId="5" borderId="16" xfId="0" applyFont="1" applyFill="1" applyBorder="1"/>
    <xf numFmtId="10" fontId="3" fillId="5" borderId="68" xfId="2" applyNumberFormat="1" applyFont="1" applyFill="1" applyBorder="1" applyAlignment="1">
      <alignment horizontal="center"/>
    </xf>
    <xf numFmtId="10" fontId="3" fillId="5" borderId="69" xfId="2" applyNumberFormat="1" applyFont="1" applyFill="1" applyBorder="1" applyAlignment="1">
      <alignment horizontal="center"/>
    </xf>
    <xf numFmtId="10" fontId="3" fillId="5" borderId="70" xfId="2" applyNumberFormat="1" applyFont="1" applyFill="1" applyBorder="1" applyAlignment="1">
      <alignment horizontal="center"/>
    </xf>
    <xf numFmtId="0" fontId="3" fillId="5" borderId="66" xfId="0" applyFont="1" applyFill="1" applyBorder="1"/>
    <xf numFmtId="10" fontId="3" fillId="5" borderId="71" xfId="2" applyNumberFormat="1" applyFont="1" applyFill="1" applyBorder="1" applyAlignment="1">
      <alignment horizontal="center"/>
    </xf>
    <xf numFmtId="10" fontId="2" fillId="5" borderId="72" xfId="2" applyNumberFormat="1" applyFont="1" applyFill="1" applyBorder="1" applyAlignment="1">
      <alignment horizontal="center"/>
    </xf>
    <xf numFmtId="10" fontId="2" fillId="5" borderId="73" xfId="2" applyNumberFormat="1" applyFont="1" applyFill="1" applyBorder="1" applyAlignment="1">
      <alignment horizontal="center"/>
    </xf>
    <xf numFmtId="0" fontId="2" fillId="5" borderId="74" xfId="0" applyFont="1" applyFill="1" applyBorder="1"/>
    <xf numFmtId="2" fontId="2" fillId="5" borderId="75" xfId="0" applyNumberFormat="1" applyFont="1" applyFill="1" applyBorder="1" applyAlignment="1">
      <alignment horizontal="right"/>
    </xf>
    <xf numFmtId="10" fontId="2" fillId="5" borderId="75" xfId="2" applyNumberFormat="1" applyFont="1" applyFill="1" applyBorder="1" applyAlignment="1">
      <alignment horizontal="center"/>
    </xf>
    <xf numFmtId="10" fontId="2" fillId="5" borderId="76" xfId="2" applyNumberFormat="1" applyFont="1" applyFill="1" applyBorder="1" applyAlignment="1">
      <alignment horizontal="center"/>
    </xf>
    <xf numFmtId="2" fontId="2" fillId="5" borderId="40" xfId="0" applyNumberFormat="1" applyFont="1" applyFill="1" applyBorder="1" applyAlignment="1">
      <alignment horizontal="right"/>
    </xf>
    <xf numFmtId="10" fontId="2" fillId="5" borderId="77" xfId="2" applyNumberFormat="1" applyFont="1" applyFill="1" applyBorder="1" applyAlignment="1">
      <alignment horizontal="center"/>
    </xf>
    <xf numFmtId="0" fontId="0" fillId="2" borderId="37" xfId="0" applyFill="1" applyBorder="1" applyAlignment="1">
      <alignment horizontal="right"/>
    </xf>
    <xf numFmtId="0" fontId="6" fillId="3" borderId="34" xfId="0" applyFont="1" applyFill="1" applyBorder="1" applyAlignment="1">
      <alignment horizontal="right"/>
    </xf>
    <xf numFmtId="0" fontId="0" fillId="0" borderId="0" xfId="0" applyAlignment="1">
      <alignment horizontal="right"/>
    </xf>
    <xf numFmtId="0" fontId="16" fillId="3" borderId="80" xfId="0" applyFont="1" applyFill="1" applyBorder="1" applyAlignment="1">
      <alignment horizontal="center" vertical="center" wrapText="1"/>
    </xf>
    <xf numFmtId="0" fontId="17" fillId="0" borderId="80" xfId="0" applyFont="1" applyBorder="1" applyAlignment="1">
      <alignment horizontal="left" vertical="center" wrapText="1"/>
    </xf>
    <xf numFmtId="0" fontId="19" fillId="0" borderId="80" xfId="0" applyFont="1" applyBorder="1" applyAlignment="1">
      <alignment horizontal="left" vertical="center" wrapText="1"/>
    </xf>
    <xf numFmtId="0" fontId="19" fillId="0" borderId="81" xfId="0" applyFont="1" applyBorder="1" applyAlignment="1">
      <alignment horizontal="left" vertical="center" wrapText="1"/>
    </xf>
    <xf numFmtId="0" fontId="19" fillId="0" borderId="82" xfId="0" applyFont="1" applyBorder="1" applyAlignment="1">
      <alignment horizontal="left" vertical="center" wrapText="1"/>
    </xf>
    <xf numFmtId="0" fontId="19" fillId="0" borderId="83" xfId="0" applyFont="1" applyBorder="1" applyAlignment="1">
      <alignment horizontal="left" vertical="center" wrapText="1"/>
    </xf>
    <xf numFmtId="171" fontId="20" fillId="0" borderId="80" xfId="3" applyFont="1" applyBorder="1" applyAlignment="1">
      <alignment horizontal="right" vertical="center" wrapText="1"/>
    </xf>
    <xf numFmtId="10" fontId="2" fillId="5" borderId="32" xfId="2" applyNumberFormat="1" applyFont="1" applyFill="1" applyBorder="1" applyAlignment="1">
      <alignment horizontal="center"/>
    </xf>
    <xf numFmtId="10" fontId="3" fillId="5" borderId="31" xfId="2" applyNumberFormat="1" applyFont="1" applyFill="1" applyBorder="1" applyAlignment="1">
      <alignment horizontal="center"/>
    </xf>
    <xf numFmtId="10" fontId="3" fillId="5" borderId="29" xfId="2" applyNumberFormat="1" applyFont="1" applyFill="1" applyBorder="1" applyAlignment="1">
      <alignment horizontal="center"/>
    </xf>
    <xf numFmtId="10" fontId="3" fillId="5" borderId="33" xfId="2" applyNumberFormat="1" applyFont="1" applyFill="1" applyBorder="1" applyAlignment="1">
      <alignment horizontal="center"/>
    </xf>
    <xf numFmtId="10" fontId="3" fillId="5" borderId="36" xfId="2" applyNumberFormat="1" applyFont="1" applyFill="1" applyBorder="1" applyAlignment="1">
      <alignment horizontal="center"/>
    </xf>
    <xf numFmtId="0" fontId="6" fillId="3" borderId="37" xfId="0" applyFont="1" applyFill="1" applyBorder="1" applyAlignment="1">
      <alignment horizontal="center"/>
    </xf>
    <xf numFmtId="166" fontId="3" fillId="5" borderId="84" xfId="0" applyNumberFormat="1" applyFont="1" applyFill="1" applyBorder="1"/>
    <xf numFmtId="10" fontId="3" fillId="5" borderId="84" xfId="2" applyNumberFormat="1" applyFont="1" applyFill="1" applyBorder="1" applyAlignment="1">
      <alignment horizontal="center"/>
    </xf>
    <xf numFmtId="166" fontId="2" fillId="5" borderId="41" xfId="0" applyNumberFormat="1" applyFont="1" applyFill="1" applyBorder="1" applyAlignment="1">
      <alignment horizontal="center"/>
    </xf>
    <xf numFmtId="166" fontId="2" fillId="5" borderId="32" xfId="0" applyNumberFormat="1" applyFont="1" applyFill="1" applyBorder="1" applyAlignment="1">
      <alignment horizontal="center"/>
    </xf>
    <xf numFmtId="166" fontId="3" fillId="5" borderId="43" xfId="0" applyNumberFormat="1" applyFont="1" applyFill="1" applyBorder="1" applyAlignment="1">
      <alignment horizontal="center"/>
    </xf>
    <xf numFmtId="166" fontId="3" fillId="5" borderId="31" xfId="0" applyNumberFormat="1" applyFont="1" applyFill="1" applyBorder="1" applyAlignment="1">
      <alignment horizontal="center"/>
    </xf>
    <xf numFmtId="166" fontId="3" fillId="5" borderId="29" xfId="0" applyNumberFormat="1" applyFont="1" applyFill="1" applyBorder="1" applyAlignment="1">
      <alignment horizontal="center"/>
    </xf>
    <xf numFmtId="166" fontId="3" fillId="5" borderId="42" xfId="0" applyNumberFormat="1" applyFont="1" applyFill="1" applyBorder="1" applyAlignment="1">
      <alignment horizontal="center"/>
    </xf>
    <xf numFmtId="166" fontId="3" fillId="5" borderId="33" xfId="0" applyNumberFormat="1" applyFont="1" applyFill="1" applyBorder="1" applyAlignment="1">
      <alignment horizontal="center"/>
    </xf>
    <xf numFmtId="166" fontId="3" fillId="5" borderId="56" xfId="0" applyNumberFormat="1" applyFont="1" applyFill="1" applyBorder="1" applyAlignment="1">
      <alignment horizontal="center"/>
    </xf>
    <xf numFmtId="166" fontId="3" fillId="5" borderId="36" xfId="0" applyNumberFormat="1" applyFont="1" applyFill="1" applyBorder="1" applyAlignment="1">
      <alignment horizontal="center"/>
    </xf>
    <xf numFmtId="166" fontId="3" fillId="5" borderId="85" xfId="0" applyNumberFormat="1" applyFont="1" applyFill="1" applyBorder="1" applyAlignment="1">
      <alignment horizontal="center"/>
    </xf>
    <xf numFmtId="166" fontId="3" fillId="5" borderId="84" xfId="0" applyNumberFormat="1" applyFont="1" applyFill="1" applyBorder="1" applyAlignment="1">
      <alignment horizontal="center"/>
    </xf>
    <xf numFmtId="166" fontId="2" fillId="5" borderId="71" xfId="0" applyNumberFormat="1" applyFont="1" applyFill="1" applyBorder="1" applyAlignment="1">
      <alignment horizontal="center"/>
    </xf>
    <xf numFmtId="166" fontId="2" fillId="5" borderId="67" xfId="0" applyNumberFormat="1" applyFont="1" applyFill="1" applyBorder="1" applyAlignment="1">
      <alignment horizontal="center"/>
    </xf>
    <xf numFmtId="166" fontId="3" fillId="5" borderId="73" xfId="0" applyNumberFormat="1" applyFont="1" applyFill="1" applyBorder="1" applyAlignment="1">
      <alignment horizontal="center"/>
    </xf>
    <xf numFmtId="166" fontId="3" fillId="5" borderId="67" xfId="0" applyNumberFormat="1" applyFont="1" applyFill="1" applyBorder="1" applyAlignment="1">
      <alignment horizontal="center"/>
    </xf>
    <xf numFmtId="166" fontId="3" fillId="5" borderId="71" xfId="0" applyNumberFormat="1" applyFont="1" applyFill="1" applyBorder="1" applyAlignment="1">
      <alignment horizontal="center"/>
    </xf>
    <xf numFmtId="166" fontId="2" fillId="5" borderId="72" xfId="0" applyNumberFormat="1" applyFont="1" applyFill="1" applyBorder="1" applyAlignment="1">
      <alignment horizontal="center"/>
    </xf>
    <xf numFmtId="166" fontId="3" fillId="5" borderId="72" xfId="0" applyNumberFormat="1" applyFont="1" applyFill="1" applyBorder="1" applyAlignment="1">
      <alignment horizontal="center"/>
    </xf>
    <xf numFmtId="166" fontId="3" fillId="5" borderId="86" xfId="0" applyNumberFormat="1" applyFont="1" applyFill="1" applyBorder="1" applyAlignment="1">
      <alignment horizontal="center"/>
    </xf>
    <xf numFmtId="166" fontId="3" fillId="5" borderId="87" xfId="0" applyNumberFormat="1" applyFont="1" applyFill="1" applyBorder="1" applyAlignment="1">
      <alignment horizontal="center"/>
    </xf>
    <xf numFmtId="0" fontId="6" fillId="3" borderId="7" xfId="0" applyFont="1" applyFill="1" applyBorder="1" applyAlignment="1">
      <alignment horizontal="center"/>
    </xf>
    <xf numFmtId="10" fontId="2" fillId="5" borderId="88" xfId="2" applyNumberFormat="1" applyFont="1" applyFill="1" applyBorder="1" applyAlignment="1">
      <alignment horizontal="center"/>
    </xf>
    <xf numFmtId="10" fontId="2" fillId="5" borderId="27" xfId="2" applyNumberFormat="1" applyFont="1" applyFill="1" applyBorder="1" applyAlignment="1">
      <alignment horizontal="center"/>
    </xf>
    <xf numFmtId="10" fontId="3" fillId="5" borderId="89" xfId="2" applyNumberFormat="1" applyFont="1" applyFill="1" applyBorder="1" applyAlignment="1">
      <alignment horizontal="center"/>
    </xf>
    <xf numFmtId="10" fontId="3" fillId="5" borderId="27" xfId="2" applyNumberFormat="1" applyFont="1" applyFill="1" applyBorder="1" applyAlignment="1">
      <alignment horizontal="center"/>
    </xf>
    <xf numFmtId="10" fontId="3" fillId="5" borderId="88" xfId="2" applyNumberFormat="1" applyFont="1" applyFill="1" applyBorder="1" applyAlignment="1">
      <alignment horizontal="center"/>
    </xf>
    <xf numFmtId="10" fontId="2" fillId="5" borderId="90" xfId="2" applyNumberFormat="1" applyFont="1" applyFill="1" applyBorder="1" applyAlignment="1">
      <alignment horizontal="center"/>
    </xf>
    <xf numFmtId="10" fontId="3" fillId="5" borderId="90" xfId="2" applyNumberFormat="1" applyFont="1" applyFill="1" applyBorder="1" applyAlignment="1">
      <alignment horizontal="center"/>
    </xf>
    <xf numFmtId="10" fontId="3" fillId="5" borderId="91" xfId="2" applyNumberFormat="1" applyFont="1" applyFill="1" applyBorder="1" applyAlignment="1">
      <alignment horizontal="center"/>
    </xf>
    <xf numFmtId="10" fontId="3" fillId="5" borderId="92" xfId="2" applyNumberFormat="1" applyFont="1" applyFill="1" applyBorder="1" applyAlignment="1">
      <alignment horizontal="center"/>
    </xf>
    <xf numFmtId="166" fontId="3" fillId="5" borderId="29" xfId="0" applyNumberFormat="1" applyFont="1" applyFill="1" applyBorder="1" applyAlignment="1">
      <alignment horizontal="right"/>
    </xf>
    <xf numFmtId="10" fontId="3" fillId="5" borderId="58" xfId="2" applyNumberFormat="1" applyFont="1" applyFill="1" applyBorder="1" applyAlignment="1">
      <alignment horizontal="center"/>
    </xf>
    <xf numFmtId="10" fontId="3" fillId="5" borderId="67" xfId="2" applyNumberFormat="1" applyFont="1" applyFill="1" applyBorder="1" applyAlignment="1">
      <alignment horizontal="center"/>
    </xf>
    <xf numFmtId="43" fontId="0" fillId="0" borderId="0" xfId="0" applyNumberFormat="1" applyAlignment="1">
      <alignment horizontal="right"/>
    </xf>
    <xf numFmtId="166" fontId="0" fillId="0" borderId="0" xfId="0" applyNumberFormat="1"/>
    <xf numFmtId="170" fontId="18" fillId="0" borderId="80" xfId="0" applyNumberFormat="1" applyFont="1" applyBorder="1" applyAlignment="1">
      <alignment horizontal="right" vertical="center" wrapText="1"/>
    </xf>
    <xf numFmtId="171" fontId="20" fillId="0" borderId="81" xfId="3" applyFont="1" applyBorder="1" applyAlignment="1">
      <alignment horizontal="right" vertical="center" wrapText="1"/>
    </xf>
    <xf numFmtId="171" fontId="20" fillId="0" borderId="82" xfId="3" applyFont="1" applyBorder="1" applyAlignment="1">
      <alignment horizontal="right" vertical="center" wrapText="1"/>
    </xf>
    <xf numFmtId="43" fontId="0" fillId="0" borderId="0" xfId="0" applyNumberFormat="1"/>
    <xf numFmtId="0" fontId="17" fillId="0" borderId="0" xfId="0" applyFont="1" applyAlignment="1">
      <alignment horizontal="left" vertical="center" wrapText="1"/>
    </xf>
    <xf numFmtId="171" fontId="18" fillId="0" borderId="0" xfId="3" applyFont="1" applyBorder="1" applyAlignment="1">
      <alignment horizontal="right" vertical="center" wrapText="1"/>
    </xf>
    <xf numFmtId="0" fontId="19" fillId="0" borderId="0" xfId="0" applyFont="1" applyAlignment="1">
      <alignment horizontal="left" vertical="center" wrapText="1"/>
    </xf>
    <xf numFmtId="171" fontId="19" fillId="0" borderId="0" xfId="3" applyFont="1" applyBorder="1" applyAlignment="1">
      <alignment horizontal="right" vertical="center" wrapText="1"/>
    </xf>
    <xf numFmtId="171" fontId="20" fillId="0" borderId="0" xfId="3" applyFont="1" applyBorder="1" applyAlignment="1">
      <alignment horizontal="right" vertical="center" wrapText="1"/>
    </xf>
    <xf numFmtId="0" fontId="16" fillId="0" borderId="0" xfId="0" applyFont="1" applyAlignment="1">
      <alignment horizontal="center" vertical="center" wrapText="1"/>
    </xf>
    <xf numFmtId="0" fontId="15" fillId="0" borderId="0" xfId="0" applyFont="1"/>
    <xf numFmtId="0" fontId="14" fillId="0" borderId="94" xfId="0" applyFont="1" applyBorder="1"/>
    <xf numFmtId="166" fontId="0" fillId="0" borderId="44" xfId="0" applyNumberFormat="1" applyBorder="1"/>
    <xf numFmtId="43" fontId="0" fillId="0" borderId="44" xfId="0" applyNumberFormat="1" applyBorder="1"/>
    <xf numFmtId="43" fontId="0" fillId="0" borderId="40" xfId="0" applyNumberFormat="1" applyBorder="1"/>
    <xf numFmtId="43" fontId="0" fillId="0" borderId="45" xfId="0" applyNumberFormat="1" applyBorder="1"/>
    <xf numFmtId="166" fontId="0" fillId="0" borderId="27" xfId="0" applyNumberFormat="1" applyBorder="1"/>
    <xf numFmtId="43" fontId="0" fillId="0" borderId="27" xfId="0" applyNumberFormat="1" applyBorder="1"/>
    <xf numFmtId="43" fontId="0" fillId="0" borderId="95" xfId="0" applyNumberFormat="1" applyBorder="1"/>
    <xf numFmtId="0" fontId="14" fillId="0" borderId="97" xfId="0" applyFont="1" applyBorder="1"/>
    <xf numFmtId="0" fontId="14" fillId="0" borderId="98" xfId="0" applyFont="1" applyBorder="1"/>
    <xf numFmtId="0" fontId="6" fillId="3" borderId="8" xfId="0" applyFont="1" applyFill="1" applyBorder="1" applyAlignment="1">
      <alignment horizontal="center"/>
    </xf>
    <xf numFmtId="10" fontId="0" fillId="0" borderId="27" xfId="2" applyNumberFormat="1" applyFont="1" applyBorder="1" applyAlignment="1">
      <alignment horizontal="center"/>
    </xf>
    <xf numFmtId="10" fontId="0" fillId="0" borderId="95" xfId="2" applyNumberFormat="1" applyFont="1" applyBorder="1" applyAlignment="1">
      <alignment horizontal="center"/>
    </xf>
    <xf numFmtId="10" fontId="2" fillId="6" borderId="2" xfId="0" applyNumberFormat="1" applyFont="1" applyFill="1" applyBorder="1" applyAlignment="1">
      <alignment horizontal="center"/>
    </xf>
    <xf numFmtId="10" fontId="2" fillId="6" borderId="27" xfId="0" applyNumberFormat="1" applyFont="1" applyFill="1" applyBorder="1" applyAlignment="1">
      <alignment horizontal="center"/>
    </xf>
    <xf numFmtId="10" fontId="3" fillId="6" borderId="3" xfId="0" applyNumberFormat="1" applyFont="1" applyFill="1" applyBorder="1" applyAlignment="1">
      <alignment horizontal="center"/>
    </xf>
    <xf numFmtId="10" fontId="3" fillId="6" borderId="25" xfId="0" applyNumberFormat="1" applyFont="1" applyFill="1" applyBorder="1" applyAlignment="1">
      <alignment horizontal="center"/>
    </xf>
    <xf numFmtId="10" fontId="2" fillId="6" borderId="100" xfId="0" applyNumberFormat="1" applyFont="1" applyFill="1" applyBorder="1" applyAlignment="1">
      <alignment horizontal="center"/>
    </xf>
    <xf numFmtId="172" fontId="2" fillId="6" borderId="27" xfId="1" applyNumberFormat="1" applyFont="1" applyFill="1" applyBorder="1"/>
    <xf numFmtId="172" fontId="3" fillId="6" borderId="27" xfId="1" applyNumberFormat="1" applyFont="1" applyFill="1" applyBorder="1"/>
    <xf numFmtId="172" fontId="3" fillId="6" borderId="25" xfId="1" applyNumberFormat="1" applyFont="1" applyFill="1" applyBorder="1"/>
    <xf numFmtId="172" fontId="4" fillId="6" borderId="27" xfId="1" applyNumberFormat="1" applyFont="1" applyFill="1" applyBorder="1"/>
    <xf numFmtId="2" fontId="0" fillId="6" borderId="0" xfId="1" applyNumberFormat="1" applyFont="1" applyFill="1"/>
    <xf numFmtId="2" fontId="3" fillId="6" borderId="0" xfId="1" applyNumberFormat="1" applyFont="1" applyFill="1" applyBorder="1"/>
    <xf numFmtId="2" fontId="3" fillId="6" borderId="54" xfId="1" applyNumberFormat="1" applyFont="1" applyFill="1" applyBorder="1"/>
    <xf numFmtId="2" fontId="2" fillId="6" borderId="0" xfId="1" applyNumberFormat="1" applyFont="1" applyFill="1" applyBorder="1"/>
    <xf numFmtId="10" fontId="3" fillId="6" borderId="54" xfId="0" applyNumberFormat="1" applyFont="1" applyFill="1" applyBorder="1" applyAlignment="1">
      <alignment horizontal="center"/>
    </xf>
    <xf numFmtId="0" fontId="11" fillId="2" borderId="0" xfId="0" applyFont="1" applyFill="1" applyAlignment="1">
      <alignment horizontal="center"/>
    </xf>
    <xf numFmtId="170" fontId="21" fillId="0" borderId="80" xfId="0" applyNumberFormat="1" applyFont="1" applyBorder="1" applyAlignment="1">
      <alignment horizontal="right" vertical="center" wrapText="1"/>
    </xf>
    <xf numFmtId="171" fontId="22" fillId="0" borderId="80" xfId="3" applyFont="1" applyBorder="1" applyAlignment="1">
      <alignment horizontal="right" vertical="center" wrapText="1"/>
    </xf>
    <xf numFmtId="171" fontId="22" fillId="0" borderId="81" xfId="3" applyFont="1" applyBorder="1" applyAlignment="1">
      <alignment horizontal="right" vertical="center" wrapText="1"/>
    </xf>
    <xf numFmtId="171" fontId="22" fillId="0" borderId="82" xfId="3" applyFont="1" applyBorder="1" applyAlignment="1">
      <alignment horizontal="right" vertical="center" wrapText="1"/>
    </xf>
    <xf numFmtId="171" fontId="22" fillId="0" borderId="83" xfId="3" applyFont="1" applyBorder="1" applyAlignment="1">
      <alignment horizontal="right" vertical="center" wrapText="1"/>
    </xf>
    <xf numFmtId="170" fontId="21" fillId="0" borderId="80" xfId="3" applyNumberFormat="1" applyFont="1" applyBorder="1" applyAlignment="1">
      <alignment horizontal="right" vertical="center" wrapText="1"/>
    </xf>
    <xf numFmtId="170" fontId="21" fillId="0" borderId="101" xfId="0" applyNumberFormat="1" applyFont="1" applyBorder="1" applyAlignment="1">
      <alignment horizontal="right" vertical="center" wrapText="1"/>
    </xf>
    <xf numFmtId="171" fontId="22" fillId="0" borderId="101" xfId="3" applyFont="1" applyBorder="1" applyAlignment="1">
      <alignment horizontal="right" vertical="center" wrapText="1"/>
    </xf>
    <xf numFmtId="171" fontId="22" fillId="0" borderId="102" xfId="3" applyFont="1" applyBorder="1" applyAlignment="1">
      <alignment horizontal="right" vertical="center" wrapText="1"/>
    </xf>
    <xf numFmtId="171" fontId="22" fillId="0" borderId="28" xfId="3" applyFont="1" applyBorder="1" applyAlignment="1">
      <alignment horizontal="right" vertical="center" wrapText="1"/>
    </xf>
    <xf numFmtId="170" fontId="21" fillId="0" borderId="101" xfId="3" applyNumberFormat="1" applyFont="1" applyBorder="1" applyAlignment="1">
      <alignment horizontal="right" vertical="center" wrapText="1"/>
    </xf>
    <xf numFmtId="171" fontId="22" fillId="0" borderId="35" xfId="3" applyFont="1" applyBorder="1" applyAlignment="1">
      <alignment horizontal="right" vertical="center" wrapText="1"/>
    </xf>
    <xf numFmtId="170" fontId="21" fillId="0" borderId="0" xfId="0" applyNumberFormat="1" applyFont="1" applyAlignment="1">
      <alignment horizontal="right" vertical="center" wrapText="1"/>
    </xf>
    <xf numFmtId="171" fontId="22" fillId="0" borderId="0" xfId="3" applyFont="1" applyBorder="1" applyAlignment="1">
      <alignment horizontal="right" vertical="center" wrapText="1"/>
    </xf>
    <xf numFmtId="170" fontId="21" fillId="0" borderId="0" xfId="3" applyNumberFormat="1" applyFont="1" applyBorder="1" applyAlignment="1">
      <alignment horizontal="right" vertical="center" wrapText="1"/>
    </xf>
    <xf numFmtId="0" fontId="23" fillId="3" borderId="80" xfId="0" applyFont="1" applyFill="1" applyBorder="1" applyAlignment="1">
      <alignment horizontal="center" vertical="center" wrapText="1"/>
    </xf>
    <xf numFmtId="43" fontId="22" fillId="0" borderId="83" xfId="3" applyNumberFormat="1" applyFont="1" applyBorder="1" applyAlignment="1">
      <alignment horizontal="right" vertical="center" wrapText="1"/>
    </xf>
    <xf numFmtId="0" fontId="16" fillId="3" borderId="106" xfId="0" applyFont="1" applyFill="1" applyBorder="1" applyAlignment="1">
      <alignment horizontal="center" vertical="center" wrapText="1"/>
    </xf>
    <xf numFmtId="0" fontId="23" fillId="3" borderId="107" xfId="0" applyFont="1" applyFill="1" applyBorder="1" applyAlignment="1">
      <alignment horizontal="center" vertical="center" wrapText="1"/>
    </xf>
    <xf numFmtId="0" fontId="17" fillId="0" borderId="106" xfId="0" applyFont="1" applyBorder="1" applyAlignment="1">
      <alignment horizontal="left" vertical="center" wrapText="1"/>
    </xf>
    <xf numFmtId="170" fontId="21" fillId="0" borderId="107" xfId="0" applyNumberFormat="1" applyFont="1" applyBorder="1" applyAlignment="1">
      <alignment horizontal="right" vertical="center" wrapText="1"/>
    </xf>
    <xf numFmtId="0" fontId="19" fillId="0" borderId="106" xfId="0" applyFont="1" applyBorder="1" applyAlignment="1">
      <alignment horizontal="left" vertical="center" wrapText="1"/>
    </xf>
    <xf numFmtId="171" fontId="22" fillId="0" borderId="107" xfId="3" applyFont="1" applyBorder="1" applyAlignment="1">
      <alignment horizontal="right" vertical="center" wrapText="1"/>
    </xf>
    <xf numFmtId="0" fontId="19" fillId="0" borderId="108" xfId="0" applyFont="1" applyBorder="1" applyAlignment="1">
      <alignment horizontal="left" vertical="center" wrapText="1"/>
    </xf>
    <xf numFmtId="171" fontId="22" fillId="0" borderId="109" xfId="3" applyFont="1" applyBorder="1" applyAlignment="1">
      <alignment horizontal="right" vertical="center" wrapText="1"/>
    </xf>
    <xf numFmtId="0" fontId="19" fillId="0" borderId="110" xfId="0" applyFont="1" applyBorder="1" applyAlignment="1">
      <alignment horizontal="left" vertical="center" wrapText="1"/>
    </xf>
    <xf numFmtId="171" fontId="22" fillId="0" borderId="111" xfId="3" applyFont="1" applyBorder="1" applyAlignment="1">
      <alignment horizontal="right" vertical="center" wrapText="1"/>
    </xf>
    <xf numFmtId="170" fontId="21" fillId="0" borderId="107" xfId="3" applyNumberFormat="1" applyFont="1" applyBorder="1" applyAlignment="1">
      <alignment horizontal="right" vertical="center" wrapText="1"/>
    </xf>
    <xf numFmtId="0" fontId="19" fillId="0" borderId="112" xfId="0" applyFont="1" applyBorder="1" applyAlignment="1">
      <alignment horizontal="left" vertical="center" wrapText="1"/>
    </xf>
    <xf numFmtId="171" fontId="22" fillId="0" borderId="113" xfId="3" applyFont="1" applyBorder="1" applyAlignment="1">
      <alignment horizontal="right" vertical="center" wrapText="1"/>
    </xf>
    <xf numFmtId="0" fontId="17" fillId="0" borderId="114" xfId="0" applyFont="1" applyBorder="1" applyAlignment="1">
      <alignment horizontal="left" vertical="center" wrapText="1"/>
    </xf>
    <xf numFmtId="0" fontId="17" fillId="0" borderId="115" xfId="0" applyFont="1" applyBorder="1" applyAlignment="1">
      <alignment horizontal="left" vertical="center" wrapText="1"/>
    </xf>
    <xf numFmtId="170" fontId="21" fillId="0" borderId="115" xfId="3" applyNumberFormat="1" applyFont="1" applyBorder="1" applyAlignment="1">
      <alignment horizontal="right" vertical="center" wrapText="1"/>
    </xf>
    <xf numFmtId="170" fontId="21" fillId="0" borderId="116" xfId="3" applyNumberFormat="1" applyFont="1" applyBorder="1" applyAlignment="1">
      <alignment horizontal="right" vertical="center" wrapText="1"/>
    </xf>
    <xf numFmtId="170" fontId="21" fillId="0" borderId="117" xfId="3" applyNumberFormat="1" applyFont="1" applyBorder="1" applyAlignment="1">
      <alignment horizontal="right" vertical="center" wrapText="1"/>
    </xf>
    <xf numFmtId="0" fontId="2" fillId="6" borderId="16" xfId="0" applyFont="1" applyFill="1" applyBorder="1"/>
    <xf numFmtId="0" fontId="3" fillId="6" borderId="16" xfId="0" applyFont="1" applyFill="1" applyBorder="1"/>
    <xf numFmtId="0" fontId="2" fillId="6" borderId="16" xfId="0" applyFont="1" applyFill="1" applyBorder="1" applyAlignment="1">
      <alignment vertical="center"/>
    </xf>
    <xf numFmtId="0" fontId="4" fillId="6" borderId="16" xfId="0" applyFont="1" applyFill="1" applyBorder="1"/>
    <xf numFmtId="0" fontId="3" fillId="6" borderId="78" xfId="0" applyFont="1" applyFill="1" applyBorder="1" applyAlignment="1">
      <alignment vertical="center"/>
    </xf>
    <xf numFmtId="0" fontId="2" fillId="6" borderId="1" xfId="0" applyFont="1" applyFill="1" applyBorder="1"/>
    <xf numFmtId="0" fontId="3" fillId="6" borderId="1" xfId="0" applyFont="1" applyFill="1" applyBorder="1"/>
    <xf numFmtId="0" fontId="2" fillId="6" borderId="1" xfId="0" applyFont="1" applyFill="1" applyBorder="1" applyAlignment="1">
      <alignment vertical="center"/>
    </xf>
    <xf numFmtId="0" fontId="4" fillId="6" borderId="1" xfId="0" applyFont="1" applyFill="1" applyBorder="1"/>
    <xf numFmtId="0" fontId="3" fillId="6" borderId="4" xfId="0" applyFont="1" applyFill="1" applyBorder="1" applyAlignment="1">
      <alignment vertical="center"/>
    </xf>
    <xf numFmtId="2" fontId="1" fillId="2" borderId="0" xfId="0" applyNumberFormat="1" applyFont="1" applyFill="1" applyAlignment="1">
      <alignment horizontal="center"/>
    </xf>
    <xf numFmtId="4" fontId="0" fillId="6" borderId="0" xfId="1" applyNumberFormat="1" applyFont="1" applyFill="1"/>
    <xf numFmtId="4" fontId="3" fillId="6" borderId="0" xfId="1" applyNumberFormat="1" applyFont="1" applyFill="1" applyBorder="1"/>
    <xf numFmtId="4" fontId="3" fillId="6" borderId="54" xfId="1" applyNumberFormat="1" applyFont="1" applyFill="1" applyBorder="1"/>
    <xf numFmtId="4" fontId="2" fillId="6" borderId="0" xfId="1" applyNumberFormat="1" applyFont="1" applyFill="1" applyBorder="1"/>
    <xf numFmtId="4" fontId="1" fillId="2" borderId="0" xfId="0" applyNumberFormat="1" applyFont="1" applyFill="1" applyAlignment="1">
      <alignment horizontal="center"/>
    </xf>
    <xf numFmtId="4" fontId="0" fillId="6" borderId="0" xfId="1" applyNumberFormat="1" applyFont="1" applyFill="1" applyAlignment="1">
      <alignment horizontal="center"/>
    </xf>
    <xf numFmtId="4" fontId="3" fillId="6" borderId="0" xfId="1" applyNumberFormat="1" applyFont="1" applyFill="1" applyBorder="1" applyAlignment="1">
      <alignment horizontal="center"/>
    </xf>
    <xf numFmtId="4" fontId="3" fillId="6" borderId="54" xfId="1" applyNumberFormat="1" applyFont="1" applyFill="1" applyBorder="1" applyAlignment="1">
      <alignment horizontal="center"/>
    </xf>
    <xf numFmtId="2" fontId="0" fillId="0" borderId="0" xfId="0" applyNumberFormat="1" applyAlignment="1">
      <alignment horizontal="center"/>
    </xf>
    <xf numFmtId="4" fontId="2" fillId="5" borderId="29" xfId="0" applyNumberFormat="1" applyFont="1" applyFill="1" applyBorder="1" applyAlignment="1">
      <alignment horizontal="center"/>
    </xf>
    <xf numFmtId="4" fontId="2" fillId="6" borderId="0" xfId="1" applyNumberFormat="1" applyFont="1" applyFill="1" applyBorder="1" applyAlignment="1">
      <alignment horizontal="center"/>
    </xf>
    <xf numFmtId="10" fontId="3" fillId="6" borderId="2" xfId="0" applyNumberFormat="1" applyFont="1" applyFill="1" applyBorder="1" applyAlignment="1">
      <alignment horizontal="center"/>
    </xf>
    <xf numFmtId="10" fontId="3" fillId="6" borderId="27" xfId="0" applyNumberFormat="1" applyFont="1" applyFill="1" applyBorder="1" applyAlignment="1">
      <alignment horizontal="center"/>
    </xf>
    <xf numFmtId="10" fontId="3" fillId="6" borderId="99" xfId="0" applyNumberFormat="1" applyFont="1" applyFill="1" applyBorder="1" applyAlignment="1">
      <alignment horizontal="center"/>
    </xf>
    <xf numFmtId="10" fontId="3" fillId="6" borderId="23" xfId="0" applyNumberFormat="1" applyFont="1" applyFill="1" applyBorder="1" applyAlignment="1">
      <alignment horizontal="center"/>
    </xf>
    <xf numFmtId="10" fontId="3" fillId="6" borderId="24" xfId="0" applyNumberFormat="1" applyFont="1" applyFill="1" applyBorder="1" applyAlignment="1">
      <alignment horizontal="center"/>
    </xf>
    <xf numFmtId="0" fontId="1" fillId="2" borderId="11" xfId="0" applyFont="1" applyFill="1" applyBorder="1"/>
    <xf numFmtId="4" fontId="0" fillId="6" borderId="30" xfId="1" applyNumberFormat="1" applyFont="1" applyFill="1" applyBorder="1"/>
    <xf numFmtId="4" fontId="3" fillId="6" borderId="30" xfId="1" applyNumberFormat="1" applyFont="1" applyFill="1" applyBorder="1"/>
    <xf numFmtId="4" fontId="3" fillId="6" borderId="118" xfId="1" applyNumberFormat="1" applyFont="1" applyFill="1" applyBorder="1"/>
    <xf numFmtId="4" fontId="2" fillId="6" borderId="30" xfId="1" applyNumberFormat="1" applyFont="1" applyFill="1" applyBorder="1"/>
    <xf numFmtId="167" fontId="0" fillId="0" borderId="0" xfId="2" applyNumberFormat="1" applyFont="1" applyBorder="1" applyAlignment="1">
      <alignment horizontal="center"/>
    </xf>
    <xf numFmtId="0" fontId="1" fillId="2" borderId="39" xfId="0" applyFont="1" applyFill="1" applyBorder="1"/>
    <xf numFmtId="0" fontId="1" fillId="2" borderId="50" xfId="0" applyFont="1" applyFill="1" applyBorder="1"/>
    <xf numFmtId="0" fontId="1" fillId="2" borderId="49" xfId="0" applyFont="1" applyFill="1" applyBorder="1"/>
    <xf numFmtId="0" fontId="6" fillId="3" borderId="37" xfId="0" applyFont="1" applyFill="1" applyBorder="1"/>
    <xf numFmtId="0" fontId="6" fillId="3" borderId="79" xfId="0" applyFont="1" applyFill="1" applyBorder="1"/>
    <xf numFmtId="0" fontId="2" fillId="5" borderId="1" xfId="0" applyFont="1" applyFill="1" applyBorder="1"/>
    <xf numFmtId="0" fontId="3" fillId="5" borderId="1" xfId="0" applyFont="1" applyFill="1" applyBorder="1"/>
    <xf numFmtId="0" fontId="3" fillId="5" borderId="4" xfId="0" applyFont="1" applyFill="1" applyBorder="1"/>
    <xf numFmtId="0" fontId="11" fillId="2" borderId="37" xfId="0" applyFont="1" applyFill="1" applyBorder="1" applyAlignment="1">
      <alignment horizontal="center"/>
    </xf>
    <xf numFmtId="0" fontId="6" fillId="3" borderId="119" xfId="0" applyFont="1" applyFill="1" applyBorder="1" applyAlignment="1">
      <alignment horizontal="right"/>
    </xf>
    <xf numFmtId="0" fontId="6" fillId="3" borderId="119" xfId="0" applyFont="1" applyFill="1" applyBorder="1" applyAlignment="1">
      <alignment horizontal="center"/>
    </xf>
    <xf numFmtId="0" fontId="1" fillId="2" borderId="120" xfId="0" applyFont="1" applyFill="1" applyBorder="1"/>
    <xf numFmtId="0" fontId="1" fillId="2" borderId="96" xfId="0" applyFont="1" applyFill="1" applyBorder="1"/>
    <xf numFmtId="0" fontId="1" fillId="2" borderId="93" xfId="0" applyFont="1" applyFill="1" applyBorder="1"/>
    <xf numFmtId="166" fontId="2" fillId="5" borderId="67" xfId="0" applyNumberFormat="1" applyFont="1" applyFill="1" applyBorder="1" applyAlignment="1">
      <alignment horizontal="right"/>
    </xf>
    <xf numFmtId="166" fontId="3" fillId="5" borderId="68" xfId="0" applyNumberFormat="1" applyFont="1" applyFill="1" applyBorder="1" applyAlignment="1">
      <alignment horizontal="right"/>
    </xf>
    <xf numFmtId="166" fontId="3" fillId="5" borderId="67" xfId="0" applyNumberFormat="1" applyFont="1" applyFill="1" applyBorder="1" applyAlignment="1">
      <alignment horizontal="right"/>
    </xf>
    <xf numFmtId="166" fontId="3" fillId="5" borderId="69" xfId="0" applyNumberFormat="1" applyFont="1" applyFill="1" applyBorder="1" applyAlignment="1">
      <alignment horizontal="right"/>
    </xf>
    <xf numFmtId="166" fontId="3" fillId="5" borderId="70" xfId="0" applyNumberFormat="1" applyFont="1" applyFill="1" applyBorder="1" applyAlignment="1">
      <alignment horizontal="right"/>
    </xf>
    <xf numFmtId="166" fontId="3" fillId="5" borderId="71" xfId="0" applyNumberFormat="1" applyFont="1" applyFill="1" applyBorder="1" applyAlignment="1">
      <alignment horizontal="right"/>
    </xf>
    <xf numFmtId="166" fontId="2" fillId="5" borderId="72" xfId="0" applyNumberFormat="1" applyFont="1" applyFill="1" applyBorder="1" applyAlignment="1">
      <alignment horizontal="right"/>
    </xf>
    <xf numFmtId="166" fontId="2" fillId="5" borderId="73" xfId="0" applyNumberFormat="1" applyFont="1" applyFill="1" applyBorder="1" applyAlignment="1">
      <alignment horizontal="right"/>
    </xf>
    <xf numFmtId="2" fontId="2" fillId="5" borderId="67" xfId="0" applyNumberFormat="1" applyFont="1" applyFill="1" applyBorder="1" applyAlignment="1">
      <alignment horizontal="right"/>
    </xf>
    <xf numFmtId="2" fontId="2" fillId="5" borderId="77" xfId="0" applyNumberFormat="1" applyFont="1" applyFill="1" applyBorder="1" applyAlignment="1">
      <alignment horizontal="right"/>
    </xf>
    <xf numFmtId="0" fontId="0" fillId="6" borderId="0" xfId="0" applyFill="1"/>
    <xf numFmtId="10" fontId="0" fillId="0" borderId="0" xfId="2" applyNumberFormat="1" applyFont="1" applyBorder="1" applyAlignment="1">
      <alignment horizontal="center"/>
    </xf>
    <xf numFmtId="0" fontId="0" fillId="0" borderId="37" xfId="0" applyBorder="1" applyAlignment="1">
      <alignment horizontal="center"/>
    </xf>
    <xf numFmtId="0" fontId="0" fillId="0" borderId="8" xfId="0" applyBorder="1" applyAlignment="1">
      <alignment horizontal="center"/>
    </xf>
    <xf numFmtId="169" fontId="12" fillId="9" borderId="0" xfId="0" applyNumberFormat="1" applyFont="1" applyFill="1" applyAlignment="1">
      <alignment horizontal="center"/>
    </xf>
    <xf numFmtId="0" fontId="0" fillId="9" borderId="0" xfId="0" applyFill="1" applyAlignment="1">
      <alignment horizontal="center"/>
    </xf>
    <xf numFmtId="0" fontId="0" fillId="9" borderId="44" xfId="0" applyFill="1" applyBorder="1" applyAlignment="1">
      <alignment horizontal="center"/>
    </xf>
    <xf numFmtId="10" fontId="0" fillId="0" borderId="44" xfId="2" applyNumberFormat="1" applyFont="1" applyBorder="1" applyAlignment="1">
      <alignment horizontal="center"/>
    </xf>
    <xf numFmtId="2" fontId="0" fillId="0" borderId="0" xfId="2" applyNumberFormat="1" applyFont="1" applyBorder="1" applyAlignment="1">
      <alignment horizontal="center"/>
    </xf>
    <xf numFmtId="2" fontId="0" fillId="0" borderId="44" xfId="2" applyNumberFormat="1" applyFont="1" applyBorder="1" applyAlignment="1">
      <alignment horizontal="center"/>
    </xf>
    <xf numFmtId="2" fontId="0" fillId="0" borderId="44" xfId="0" applyNumberFormat="1" applyBorder="1" applyAlignment="1">
      <alignment horizontal="center"/>
    </xf>
    <xf numFmtId="169" fontId="12" fillId="7" borderId="0" xfId="0" applyNumberFormat="1" applyFont="1" applyFill="1" applyAlignment="1">
      <alignment horizontal="center"/>
    </xf>
    <xf numFmtId="166" fontId="0" fillId="0" borderId="0" xfId="0" applyNumberFormat="1" applyAlignment="1">
      <alignment horizontal="center"/>
    </xf>
    <xf numFmtId="166" fontId="0" fillId="0" borderId="44" xfId="0" applyNumberFormat="1" applyBorder="1" applyAlignment="1">
      <alignment horizontal="center"/>
    </xf>
    <xf numFmtId="43" fontId="0" fillId="0" borderId="0" xfId="0" applyNumberFormat="1" applyAlignment="1">
      <alignment horizontal="center"/>
    </xf>
    <xf numFmtId="43" fontId="0" fillId="0" borderId="44" xfId="0" applyNumberFormat="1" applyBorder="1" applyAlignment="1">
      <alignment horizontal="center"/>
    </xf>
    <xf numFmtId="167" fontId="0" fillId="0" borderId="44" xfId="2" applyNumberFormat="1" applyFont="1" applyBorder="1" applyAlignment="1">
      <alignment horizontal="center"/>
    </xf>
    <xf numFmtId="169" fontId="0" fillId="0" borderId="0" xfId="0" applyNumberFormat="1" applyAlignment="1">
      <alignment horizontal="center"/>
    </xf>
    <xf numFmtId="169" fontId="0" fillId="0" borderId="44" xfId="0" applyNumberFormat="1" applyBorder="1" applyAlignment="1">
      <alignment horizontal="center"/>
    </xf>
    <xf numFmtId="4" fontId="0" fillId="0" borderId="0" xfId="0" applyNumberFormat="1" applyAlignment="1">
      <alignment horizontal="center"/>
    </xf>
    <xf numFmtId="4" fontId="0" fillId="0" borderId="44" xfId="0" applyNumberFormat="1" applyBorder="1" applyAlignment="1">
      <alignment horizontal="center"/>
    </xf>
    <xf numFmtId="0" fontId="0" fillId="0" borderId="44" xfId="0" applyBorder="1" applyAlignment="1">
      <alignment horizontal="center"/>
    </xf>
    <xf numFmtId="168" fontId="0" fillId="0" borderId="0" xfId="0" applyNumberFormat="1" applyAlignment="1">
      <alignment horizontal="center"/>
    </xf>
    <xf numFmtId="0" fontId="0" fillId="0" borderId="40" xfId="0" applyBorder="1" applyAlignment="1">
      <alignment horizontal="center"/>
    </xf>
    <xf numFmtId="2" fontId="0" fillId="0" borderId="40" xfId="0" applyNumberFormat="1" applyBorder="1" applyAlignment="1">
      <alignment horizontal="center"/>
    </xf>
    <xf numFmtId="2" fontId="0" fillId="0" borderId="45" xfId="0" applyNumberFormat="1" applyBorder="1" applyAlignment="1">
      <alignment horizontal="center"/>
    </xf>
    <xf numFmtId="0" fontId="10" fillId="0" borderId="121" xfId="0" applyFont="1" applyBorder="1" applyAlignment="1">
      <alignment horizontal="center"/>
    </xf>
    <xf numFmtId="0" fontId="10" fillId="0" borderId="122" xfId="0" applyFont="1" applyBorder="1" applyAlignment="1">
      <alignment horizontal="left"/>
    </xf>
    <xf numFmtId="169" fontId="12" fillId="9" borderId="13" xfId="0" applyNumberFormat="1" applyFont="1" applyFill="1" applyBorder="1" applyAlignment="1">
      <alignment horizontal="left"/>
    </xf>
    <xf numFmtId="0" fontId="0" fillId="0" borderId="13" xfId="0" applyBorder="1" applyAlignment="1">
      <alignment horizontal="left"/>
    </xf>
    <xf numFmtId="169" fontId="12" fillId="7" borderId="13" xfId="0" applyNumberFormat="1" applyFont="1" applyFill="1" applyBorder="1" applyAlignment="1">
      <alignment horizontal="left"/>
    </xf>
    <xf numFmtId="169" fontId="0" fillId="0" borderId="13" xfId="0" applyNumberFormat="1" applyBorder="1" applyAlignment="1">
      <alignment horizontal="left"/>
    </xf>
    <xf numFmtId="0" fontId="0" fillId="0" borderId="13" xfId="0" applyBorder="1"/>
    <xf numFmtId="0" fontId="0" fillId="6" borderId="13" xfId="0" applyFill="1" applyBorder="1"/>
    <xf numFmtId="0" fontId="0" fillId="8" borderId="13" xfId="0" applyFill="1" applyBorder="1"/>
    <xf numFmtId="0" fontId="0" fillId="0" borderId="15" xfId="0" applyBorder="1"/>
    <xf numFmtId="0" fontId="0" fillId="0" borderId="122" xfId="0" applyBorder="1"/>
    <xf numFmtId="43" fontId="0" fillId="0" borderId="37" xfId="0" applyNumberFormat="1" applyBorder="1" applyAlignment="1">
      <alignment horizontal="center"/>
    </xf>
    <xf numFmtId="43" fontId="0" fillId="0" borderId="8" xfId="0" applyNumberFormat="1" applyBorder="1" applyAlignment="1">
      <alignment horizontal="center"/>
    </xf>
    <xf numFmtId="0" fontId="10" fillId="6" borderId="2" xfId="0" applyFont="1" applyFill="1" applyBorder="1"/>
    <xf numFmtId="0" fontId="10" fillId="6" borderId="0" xfId="0" applyFont="1" applyFill="1"/>
    <xf numFmtId="0" fontId="10" fillId="6" borderId="30" xfId="0" applyFont="1" applyFill="1" applyBorder="1"/>
    <xf numFmtId="0" fontId="0" fillId="6" borderId="2" xfId="0" applyFill="1" applyBorder="1"/>
    <xf numFmtId="0" fontId="0" fillId="6" borderId="30" xfId="0" applyFill="1" applyBorder="1"/>
    <xf numFmtId="0" fontId="10" fillId="6" borderId="3" xfId="0" applyFont="1" applyFill="1" applyBorder="1"/>
    <xf numFmtId="0" fontId="0" fillId="6" borderId="118" xfId="0" applyFill="1" applyBorder="1"/>
    <xf numFmtId="0" fontId="10" fillId="6" borderId="54" xfId="0" applyFont="1" applyFill="1" applyBorder="1"/>
    <xf numFmtId="0" fontId="10" fillId="6" borderId="118" xfId="0" applyFont="1" applyFill="1" applyBorder="1"/>
    <xf numFmtId="0" fontId="0" fillId="6" borderId="54" xfId="0" applyFill="1" applyBorder="1"/>
    <xf numFmtId="0" fontId="2" fillId="5" borderId="16" xfId="0" applyFont="1" applyFill="1" applyBorder="1"/>
    <xf numFmtId="0" fontId="0" fillId="10" borderId="0" xfId="0" applyFill="1" applyAlignment="1">
      <alignment horizontal="left"/>
    </xf>
    <xf numFmtId="0" fontId="0" fillId="10" borderId="0" xfId="0" applyFill="1" applyAlignment="1">
      <alignment horizontal="center"/>
    </xf>
    <xf numFmtId="2" fontId="0" fillId="10" borderId="0" xfId="0" applyNumberFormat="1" applyFill="1" applyAlignment="1">
      <alignment horizontal="center"/>
    </xf>
    <xf numFmtId="0" fontId="0" fillId="10" borderId="0" xfId="0" applyFill="1"/>
    <xf numFmtId="170" fontId="21" fillId="10" borderId="0" xfId="3" applyNumberFormat="1" applyFont="1" applyFill="1" applyBorder="1" applyAlignment="1">
      <alignment horizontal="right" vertical="center" wrapText="1"/>
    </xf>
    <xf numFmtId="0" fontId="2" fillId="11" borderId="123" xfId="0" applyFont="1" applyFill="1" applyBorder="1"/>
    <xf numFmtId="167" fontId="0" fillId="11" borderId="124" xfId="2" applyNumberFormat="1" applyFont="1" applyFill="1" applyBorder="1"/>
    <xf numFmtId="167" fontId="0" fillId="11" borderId="125" xfId="2" applyNumberFormat="1" applyFont="1" applyFill="1" applyBorder="1"/>
    <xf numFmtId="0" fontId="0" fillId="0" borderId="0" xfId="0" quotePrefix="1" applyAlignment="1">
      <alignment horizontal="center"/>
    </xf>
    <xf numFmtId="0" fontId="0" fillId="0" borderId="0" xfId="0" quotePrefix="1"/>
    <xf numFmtId="0" fontId="0" fillId="10" borderId="0" xfId="0" quotePrefix="1" applyFill="1" applyAlignment="1">
      <alignment horizontal="center"/>
    </xf>
    <xf numFmtId="4" fontId="24" fillId="6" borderId="0" xfId="1" applyNumberFormat="1" applyFont="1" applyFill="1" applyAlignment="1">
      <alignment horizontal="center"/>
    </xf>
    <xf numFmtId="4" fontId="10" fillId="6" borderId="25" xfId="1" applyNumberFormat="1" applyFont="1" applyFill="1" applyBorder="1" applyAlignment="1">
      <alignment horizontal="center"/>
    </xf>
    <xf numFmtId="3" fontId="0" fillId="6" borderId="0" xfId="0" applyNumberFormat="1" applyFill="1" applyAlignment="1">
      <alignment horizontal="center" vertical="center"/>
    </xf>
    <xf numFmtId="0" fontId="0" fillId="0" borderId="0" xfId="0" applyAlignment="1">
      <alignment horizontal="center"/>
    </xf>
    <xf numFmtId="0" fontId="2" fillId="0" borderId="0" xfId="0" applyFont="1"/>
    <xf numFmtId="0" fontId="5" fillId="4" borderId="16" xfId="0" applyFont="1" applyFill="1" applyBorder="1" applyAlignment="1">
      <alignment horizontal="center" wrapText="1"/>
    </xf>
    <xf numFmtId="0" fontId="5" fillId="4" borderId="0" xfId="0" applyFont="1" applyFill="1" applyAlignment="1">
      <alignment horizontal="center" wrapText="1"/>
    </xf>
    <xf numFmtId="0" fontId="1" fillId="2" borderId="17" xfId="0" applyFont="1" applyFill="1" applyBorder="1" applyAlignment="1">
      <alignment horizontal="center"/>
    </xf>
    <xf numFmtId="0" fontId="1" fillId="2" borderId="18" xfId="0" applyFont="1" applyFill="1" applyBorder="1" applyAlignment="1">
      <alignment horizontal="center"/>
    </xf>
    <xf numFmtId="0" fontId="1" fillId="2" borderId="19" xfId="0" applyFont="1" applyFill="1" applyBorder="1" applyAlignment="1">
      <alignment horizontal="center"/>
    </xf>
    <xf numFmtId="0" fontId="1" fillId="2" borderId="21" xfId="0" applyFont="1" applyFill="1" applyBorder="1" applyAlignment="1">
      <alignment horizontal="center"/>
    </xf>
    <xf numFmtId="0" fontId="1" fillId="2" borderId="0" xfId="0" applyFont="1" applyFill="1" applyAlignment="1">
      <alignment horizontal="center"/>
    </xf>
    <xf numFmtId="0" fontId="1" fillId="2" borderId="22" xfId="0" applyFont="1" applyFill="1" applyBorder="1" applyAlignment="1">
      <alignment horizontal="center"/>
    </xf>
    <xf numFmtId="0" fontId="15" fillId="2" borderId="103" xfId="0" applyFont="1" applyFill="1" applyBorder="1" applyAlignment="1">
      <alignment horizontal="center"/>
    </xf>
    <xf numFmtId="0" fontId="15" fillId="2" borderId="104" xfId="0" applyFont="1" applyFill="1" applyBorder="1" applyAlignment="1">
      <alignment horizontal="center"/>
    </xf>
    <xf numFmtId="0" fontId="15" fillId="2" borderId="105" xfId="0" applyFont="1" applyFill="1" applyBorder="1" applyAlignment="1">
      <alignment horizontal="center"/>
    </xf>
  </cellXfs>
  <cellStyles count="4">
    <cellStyle name="Currency" xfId="1" builtinId="4"/>
    <cellStyle name="Currency 2" xfId="3" xr:uid="{6CF2A027-48BB-BC40-A107-BD932F64A631}"/>
    <cellStyle name="Normal" xfId="0" builtinId="0"/>
    <cellStyle name="Per 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50586</xdr:colOff>
      <xdr:row>4</xdr:row>
      <xdr:rowOff>162774</xdr:rowOff>
    </xdr:from>
    <xdr:to>
      <xdr:col>0</xdr:col>
      <xdr:colOff>837646</xdr:colOff>
      <xdr:row>20</xdr:row>
      <xdr:rowOff>86674</xdr:rowOff>
    </xdr:to>
    <xdr:pic>
      <xdr:nvPicPr>
        <xdr:cNvPr id="2" name="Picture 1">
          <a:extLst>
            <a:ext uri="{FF2B5EF4-FFF2-40B4-BE49-F238E27FC236}">
              <a16:creationId xmlns:a16="http://schemas.microsoft.com/office/drawing/2014/main" id="{6ADF9A73-4DA3-C3C0-D15D-192CAA1CFBA6}"/>
            </a:ext>
          </a:extLst>
        </xdr:cNvPr>
        <xdr:cNvPicPr>
          <a:picLocks noChangeAspect="1"/>
        </xdr:cNvPicPr>
      </xdr:nvPicPr>
      <xdr:blipFill>
        <a:blip xmlns:r="http://schemas.openxmlformats.org/officeDocument/2006/relationships" r:embed="rId1"/>
        <a:stretch>
          <a:fillRect/>
        </a:stretch>
      </xdr:blipFill>
      <xdr:spPr>
        <a:xfrm rot="16200000">
          <a:off x="-1028701" y="1790701"/>
          <a:ext cx="2945633" cy="787060"/>
        </a:xfrm>
        <a:prstGeom prst="rect">
          <a:avLst/>
        </a:prstGeom>
      </xdr:spPr>
    </xdr:pic>
    <xdr:clientData/>
  </xdr:twoCellAnchor>
  <xdr:twoCellAnchor editAs="oneCell">
    <xdr:from>
      <xdr:col>17</xdr:col>
      <xdr:colOff>590550</xdr:colOff>
      <xdr:row>2</xdr:row>
      <xdr:rowOff>19050</xdr:rowOff>
    </xdr:from>
    <xdr:to>
      <xdr:col>20</xdr:col>
      <xdr:colOff>533398</xdr:colOff>
      <xdr:row>25</xdr:row>
      <xdr:rowOff>117416</xdr:rowOff>
    </xdr:to>
    <xdr:pic>
      <xdr:nvPicPr>
        <xdr:cNvPr id="6" name="Image 1">
          <a:extLst>
            <a:ext uri="{FF2B5EF4-FFF2-40B4-BE49-F238E27FC236}">
              <a16:creationId xmlns:a16="http://schemas.microsoft.com/office/drawing/2014/main" id="{4435EFDE-317C-4D7A-9C60-79FB5937F6CE}"/>
            </a:ext>
            <a:ext uri="{147F2762-F138-4A5C-976F-8EAC2B608ADB}">
              <a16:predDERef xmlns:a16="http://schemas.microsoft.com/office/drawing/2014/main" pred="{6ADF9A73-4DA3-C3C0-D15D-192CAA1CFBA6}"/>
            </a:ext>
          </a:extLst>
        </xdr:cNvPr>
        <xdr:cNvPicPr>
          <a:picLocks noChangeAspect="1"/>
        </xdr:cNvPicPr>
      </xdr:nvPicPr>
      <xdr:blipFill>
        <a:blip xmlns:r="http://schemas.openxmlformats.org/officeDocument/2006/relationships" r:embed="rId2"/>
        <a:stretch>
          <a:fillRect/>
        </a:stretch>
      </xdr:blipFill>
      <xdr:spPr>
        <a:xfrm>
          <a:off x="9953625" y="209550"/>
          <a:ext cx="1962150" cy="457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279400</xdr:colOff>
      <xdr:row>5</xdr:row>
      <xdr:rowOff>177800</xdr:rowOff>
    </xdr:from>
    <xdr:to>
      <xdr:col>0</xdr:col>
      <xdr:colOff>1066460</xdr:colOff>
      <xdr:row>21</xdr:row>
      <xdr:rowOff>94710</xdr:rowOff>
    </xdr:to>
    <xdr:pic>
      <xdr:nvPicPr>
        <xdr:cNvPr id="2" name="Picture 1">
          <a:extLst>
            <a:ext uri="{FF2B5EF4-FFF2-40B4-BE49-F238E27FC236}">
              <a16:creationId xmlns:a16="http://schemas.microsoft.com/office/drawing/2014/main" id="{0E620E5A-81B8-594B-A96D-8797360E7197}"/>
            </a:ext>
          </a:extLst>
        </xdr:cNvPr>
        <xdr:cNvPicPr>
          <a:picLocks noChangeAspect="1"/>
        </xdr:cNvPicPr>
      </xdr:nvPicPr>
      <xdr:blipFill>
        <a:blip xmlns:r="http://schemas.openxmlformats.org/officeDocument/2006/relationships" r:embed="rId1"/>
        <a:stretch>
          <a:fillRect/>
        </a:stretch>
      </xdr:blipFill>
      <xdr:spPr>
        <a:xfrm rot="16200000">
          <a:off x="-809525" y="2219225"/>
          <a:ext cx="2964910" cy="787060"/>
        </a:xfrm>
        <a:prstGeom prst="rect">
          <a:avLst/>
        </a:prstGeom>
      </xdr:spPr>
    </xdr:pic>
    <xdr:clientData/>
  </xdr:twoCellAnchor>
  <xdr:twoCellAnchor>
    <xdr:from>
      <xdr:col>9</xdr:col>
      <xdr:colOff>37910</xdr:colOff>
      <xdr:row>30</xdr:row>
      <xdr:rowOff>56866</xdr:rowOff>
    </xdr:from>
    <xdr:to>
      <xdr:col>17</xdr:col>
      <xdr:colOff>890896</xdr:colOff>
      <xdr:row>34</xdr:row>
      <xdr:rowOff>170597</xdr:rowOff>
    </xdr:to>
    <xdr:sp macro="" textlink="">
      <xdr:nvSpPr>
        <xdr:cNvPr id="3" name="TextBox 2">
          <a:extLst>
            <a:ext uri="{FF2B5EF4-FFF2-40B4-BE49-F238E27FC236}">
              <a16:creationId xmlns:a16="http://schemas.microsoft.com/office/drawing/2014/main" id="{A20B742E-31DD-362D-8B9C-14B05492AE5C}"/>
            </a:ext>
          </a:extLst>
        </xdr:cNvPr>
        <xdr:cNvSpPr txBox="1"/>
      </xdr:nvSpPr>
      <xdr:spPr>
        <a:xfrm>
          <a:off x="13079104" y="5743433"/>
          <a:ext cx="8055971" cy="11373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a:t>As Schneider Electric does not report an EBITDA figure in its financial statements, we reconstructed it from the reported EBITA. Schneider's preferred metric is EBITA (Earnings Before Interest, Taxes, and Amortization of acquisition-related intangibles), which excludes amortization charges arising from M&amp;A activity but retains the depreciation of property, plant and equipment. To align with the standard EBITDA definition used in this course, we added back the depreciation of PP&amp;E, sourced directly from the Cash Flow Statement (indirect method), to the reported EBITA. This gives: </a:t>
          </a:r>
          <a:r>
            <a:rPr lang="en-US" b="1"/>
            <a:t>EBITDA (restated) = EBITA + Depreciation of PP&amp;E</a:t>
          </a:r>
          <a:r>
            <a:rPr lang="en-US"/>
            <a:t>.</a:t>
          </a: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197555</xdr:colOff>
      <xdr:row>15</xdr:row>
      <xdr:rowOff>45155</xdr:rowOff>
    </xdr:from>
    <xdr:to>
      <xdr:col>0</xdr:col>
      <xdr:colOff>827992</xdr:colOff>
      <xdr:row>27</xdr:row>
      <xdr:rowOff>108655</xdr:rowOff>
    </xdr:to>
    <xdr:pic>
      <xdr:nvPicPr>
        <xdr:cNvPr id="2" name="Picture 1">
          <a:extLst>
            <a:ext uri="{FF2B5EF4-FFF2-40B4-BE49-F238E27FC236}">
              <a16:creationId xmlns:a16="http://schemas.microsoft.com/office/drawing/2014/main" id="{2AF9A4BF-E163-9941-B2BE-56CE8BD87AF0}"/>
            </a:ext>
          </a:extLst>
        </xdr:cNvPr>
        <xdr:cNvPicPr>
          <a:picLocks noChangeAspect="1"/>
        </xdr:cNvPicPr>
      </xdr:nvPicPr>
      <xdr:blipFill>
        <a:blip xmlns:r="http://schemas.openxmlformats.org/officeDocument/2006/relationships" r:embed="rId1"/>
        <a:stretch>
          <a:fillRect/>
        </a:stretch>
      </xdr:blipFill>
      <xdr:spPr>
        <a:xfrm rot="16200000">
          <a:off x="-704310" y="3910353"/>
          <a:ext cx="2434167" cy="6304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25400</xdr:colOff>
      <xdr:row>54</xdr:row>
      <xdr:rowOff>152401</xdr:rowOff>
    </xdr:from>
    <xdr:to>
      <xdr:col>8</xdr:col>
      <xdr:colOff>0</xdr:colOff>
      <xdr:row>64</xdr:row>
      <xdr:rowOff>52917</xdr:rowOff>
    </xdr:to>
    <xdr:sp macro="" textlink="">
      <xdr:nvSpPr>
        <xdr:cNvPr id="2" name="TextBox 1">
          <a:extLst>
            <a:ext uri="{FF2B5EF4-FFF2-40B4-BE49-F238E27FC236}">
              <a16:creationId xmlns:a16="http://schemas.microsoft.com/office/drawing/2014/main" id="{9F6C3818-7CFC-E1C7-15BB-80E80A4BC714}"/>
            </a:ext>
          </a:extLst>
        </xdr:cNvPr>
        <xdr:cNvSpPr txBox="1"/>
      </xdr:nvSpPr>
      <xdr:spPr>
        <a:xfrm>
          <a:off x="854428" y="10788651"/>
          <a:ext cx="12374739" cy="18760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1"/>
            <a:t>Methodological note — DSO, DPO &amp; DIO conventions</a:t>
          </a:r>
        </a:p>
        <a:p>
          <a:endParaRPr lang="en-US"/>
        </a:p>
        <a:p>
          <a:r>
            <a:rPr lang="en-US"/>
            <a:t>For the calculation of working capital days ratios, we applied a </a:t>
          </a:r>
          <a:r>
            <a:rPr lang="en-US" b="1"/>
            <a:t>360-day convention</a:t>
          </a:r>
          <a:r>
            <a:rPr lang="en-US"/>
            <a:t> rather than 365, in line with the standard academic methodology used throughout this course, where each month is treated as 30 days for comparability purposes.</a:t>
          </a:r>
        </a:p>
        <a:p>
          <a:endParaRPr lang="en-US"/>
        </a:p>
        <a:p>
          <a:r>
            <a:rPr lang="en-US"/>
            <a:t>Regarding the </a:t>
          </a:r>
          <a:r>
            <a:rPr lang="en-US" b="1"/>
            <a:t>tax gross-up adjustment</a:t>
          </a:r>
          <a:r>
            <a:rPr lang="en-US"/>
            <a:t> on the denominator — while it is technically argued that trade receivables and payables on the balance sheet are recorded inclusive of VAT, creating a mismatch with the tax-exclusive figures reported in the income statement, we chose </a:t>
          </a:r>
          <a:r>
            <a:rPr lang="en-US" b="1"/>
            <a:t>not to apply this correction</a:t>
          </a:r>
          <a:r>
            <a:rPr lang="en-US"/>
            <a:t> for Schneider Electric. As a global B2B group operating across more than 100 countries, no single VAT rate can be meaningfully identified or applied. Furthermore, in B2B transactions, VAT is fully recoverable by the counterparty, making it economically neutral. Applying an arbitrary tax rate would introduce greater distortion than the one it aims to correct. This adjustment is most relevant for domestic, B2C-oriented companies where a uniform and material tax rate applies consistently across all revenues.</a:t>
          </a:r>
        </a:p>
        <a:p>
          <a:endParaRPr lang="en-US" sz="1100"/>
        </a:p>
      </xdr:txBody>
    </xdr:sp>
    <xdr:clientData/>
  </xdr:twoCellAnchor>
  <xdr:twoCellAnchor>
    <xdr:from>
      <xdr:col>1</xdr:col>
      <xdr:colOff>19352</xdr:colOff>
      <xdr:row>44</xdr:row>
      <xdr:rowOff>179008</xdr:rowOff>
    </xdr:from>
    <xdr:to>
      <xdr:col>3</xdr:col>
      <xdr:colOff>845860</xdr:colOff>
      <xdr:row>53</xdr:row>
      <xdr:rowOff>14513</xdr:rowOff>
    </xdr:to>
    <xdr:sp macro="" textlink="">
      <xdr:nvSpPr>
        <xdr:cNvPr id="3" name="TextBox 2">
          <a:extLst>
            <a:ext uri="{FF2B5EF4-FFF2-40B4-BE49-F238E27FC236}">
              <a16:creationId xmlns:a16="http://schemas.microsoft.com/office/drawing/2014/main" id="{62AF4F1A-2E98-51C2-AAA1-3378EAECD14D}"/>
            </a:ext>
          </a:extLst>
        </xdr:cNvPr>
        <xdr:cNvSpPr txBox="1"/>
      </xdr:nvSpPr>
      <xdr:spPr>
        <a:xfrm>
          <a:off x="845860" y="8343294"/>
          <a:ext cx="6491111" cy="1508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solidFill>
                <a:schemeClr val="tx2"/>
              </a:solidFill>
            </a:rPr>
            <a:t>Two conventions exist for assigning dividends in the payout ratio:</a:t>
          </a:r>
        </a:p>
        <a:p>
          <a:r>
            <a:rPr lang="en-US" b="1">
              <a:solidFill>
                <a:schemeClr val="tx2"/>
              </a:solidFill>
            </a:rPr>
            <a:t>"Strict" convention</a:t>
          </a:r>
          <a:r>
            <a:rPr lang="en-US">
              <a:solidFill>
                <a:schemeClr val="tx2"/>
              </a:solidFill>
            </a:rPr>
            <a:t> — you assign the dividend to the fiscal year whose profits it rewards. For example, the dividend paid in 2025 is assigned to FY2024, since it remunerates FY2024 earnings. This is technically more accurate but means FY2025 has no dividend yet (it will only be paid in 2026).</a:t>
          </a:r>
        </a:p>
        <a:p>
          <a:r>
            <a:rPr lang="en-US" b="1">
              <a:solidFill>
                <a:schemeClr val="tx2"/>
              </a:solidFill>
            </a:rPr>
            <a:t>"Simple" convention</a:t>
          </a:r>
          <a:r>
            <a:rPr lang="en-US">
              <a:solidFill>
                <a:schemeClr val="tx2"/>
              </a:solidFill>
            </a:rPr>
            <a:t> — you take the dividends as they appear directly in the CFS for each year, no shift. So 2025 = €2,191m paid in 2025, regardless of which year's earnings they relate to. Less precise but straightforward and uses readily available data.</a:t>
          </a:r>
        </a:p>
        <a:p>
          <a:r>
            <a:rPr lang="en-US">
              <a:solidFill>
                <a:schemeClr val="tx2"/>
              </a:solidFill>
            </a:rPr>
            <a:t>Both are valid. We're asking the professor which one to apply.</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0E322A3-E9FC-BF4E-BCBC-EF2C898CC27C}">
  <we:reference id="WA200009404" version="1.0.0.8" store="Omex" storeType="OMEX"/>
  <we:alternateReferences>
    <we:reference id="WA200009404" version="1.0.0.8" store="WA200009404" storeType="OMEX"/>
  </we:alternateReferences>
  <we:properties>
    <we:property name="claude.fileId" value="&quot;9b7ece1b-72bc-49a7-8697-fda8238994a2&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U39"/>
  <sheetViews>
    <sheetView topLeftCell="AC9" zoomScale="75" workbookViewId="0">
      <selection activeCell="J24" sqref="J24"/>
    </sheetView>
  </sheetViews>
  <sheetFormatPr baseColWidth="10" defaultColWidth="8.83203125" defaultRowHeight="15" x14ac:dyDescent="0.2"/>
  <cols>
    <col min="1" max="1" width="13" customWidth="1"/>
    <col min="2" max="2" width="31.5" bestFit="1" customWidth="1"/>
    <col min="3" max="3" width="14.1640625" customWidth="1"/>
    <col min="4" max="4" width="16.5" style="267" bestFit="1" customWidth="1"/>
    <col min="5" max="6" width="15.83203125" style="19" customWidth="1"/>
    <col min="7" max="7" width="15.1640625" style="267" customWidth="1"/>
    <col min="8" max="8" width="12" customWidth="1"/>
    <col min="9" max="9" width="15.1640625" customWidth="1"/>
    <col min="10" max="10" width="20.5" style="267" customWidth="1"/>
    <col min="11" max="11" width="12.6640625" customWidth="1"/>
    <col min="12" max="12" width="15.6640625" customWidth="1"/>
    <col min="13" max="13" width="19.33203125" style="267" customWidth="1"/>
    <col min="14" max="14" width="12.83203125" customWidth="1"/>
    <col min="15" max="15" width="15.33203125" customWidth="1"/>
    <col min="16" max="16" width="19.5" style="267" customWidth="1"/>
    <col min="17" max="17" width="14.5" customWidth="1"/>
    <col min="24" max="24" width="17.33203125" customWidth="1"/>
    <col min="26" max="26" width="11.5" customWidth="1"/>
    <col min="27" max="27" width="21" customWidth="1"/>
    <col min="28" max="28" width="13.83203125" customWidth="1"/>
    <col min="29" max="29" width="18" customWidth="1"/>
    <col min="30" max="30" width="11.5" style="19" customWidth="1"/>
    <col min="31" max="31" width="18.33203125" customWidth="1"/>
    <col min="32" max="32" width="11.5" style="19" customWidth="1"/>
    <col min="33" max="33" width="18.5" customWidth="1"/>
    <col min="34" max="34" width="11.5" style="19" customWidth="1"/>
    <col min="35" max="35" width="16.5" customWidth="1"/>
    <col min="38" max="38" width="37.1640625" bestFit="1" customWidth="1"/>
    <col min="39" max="39" width="22.5" customWidth="1"/>
    <col min="40" max="40" width="13.83203125" style="52" customWidth="1"/>
    <col min="41" max="41" width="18.5" customWidth="1"/>
    <col min="42" max="42" width="10.33203125" style="52" customWidth="1"/>
    <col min="43" max="43" width="15.83203125" bestFit="1" customWidth="1"/>
    <col min="44" max="44" width="11.33203125" style="52" customWidth="1"/>
    <col min="45" max="45" width="15.83203125" bestFit="1" customWidth="1"/>
    <col min="46" max="46" width="9.83203125" style="52" customWidth="1"/>
    <col min="47" max="47" width="17.1640625" customWidth="1"/>
  </cols>
  <sheetData>
    <row r="1" spans="1:47" x14ac:dyDescent="0.2">
      <c r="A1" s="369"/>
      <c r="B1" s="1" t="s">
        <v>0</v>
      </c>
      <c r="C1" s="1" t="s">
        <v>1</v>
      </c>
      <c r="D1" s="377">
        <v>2025</v>
      </c>
      <c r="E1" s="377"/>
      <c r="F1" s="378"/>
      <c r="G1" s="373">
        <v>2024</v>
      </c>
      <c r="H1" s="374"/>
      <c r="I1" s="375"/>
      <c r="J1" s="376">
        <v>2023</v>
      </c>
      <c r="K1" s="377"/>
      <c r="L1" s="377"/>
      <c r="M1" s="377">
        <v>2022</v>
      </c>
      <c r="N1" s="377"/>
      <c r="O1" s="377"/>
      <c r="P1" s="377">
        <v>2021</v>
      </c>
      <c r="Q1" s="377"/>
    </row>
    <row r="2" spans="1:47" x14ac:dyDescent="0.2">
      <c r="A2" s="369"/>
      <c r="B2" s="1"/>
      <c r="C2" s="1"/>
      <c r="D2" s="258" t="s">
        <v>196</v>
      </c>
      <c r="E2" s="23" t="s">
        <v>2</v>
      </c>
      <c r="F2" s="23" t="s">
        <v>3</v>
      </c>
      <c r="G2" s="258" t="s">
        <v>196</v>
      </c>
      <c r="H2" s="20" t="s">
        <v>2</v>
      </c>
      <c r="I2" s="24" t="s">
        <v>3</v>
      </c>
      <c r="J2" s="258" t="s">
        <v>196</v>
      </c>
      <c r="K2" s="20" t="s">
        <v>2</v>
      </c>
      <c r="L2" s="24" t="s">
        <v>3</v>
      </c>
      <c r="M2" s="263" t="s">
        <v>196</v>
      </c>
      <c r="N2" s="20" t="s">
        <v>2</v>
      </c>
      <c r="O2" s="24" t="s">
        <v>3</v>
      </c>
      <c r="P2" s="258" t="s">
        <v>196</v>
      </c>
      <c r="Q2" s="25" t="s">
        <v>3</v>
      </c>
    </row>
    <row r="3" spans="1:47" x14ac:dyDescent="0.2">
      <c r="A3" s="369"/>
      <c r="B3" s="248" t="s">
        <v>4</v>
      </c>
      <c r="C3" s="203"/>
      <c r="D3" s="268">
        <v>31080</v>
      </c>
      <c r="E3" s="198">
        <f t="shared" ref="E3:E8" si="0">(D3-P3)/P3</f>
        <v>-4.1334230510429682E-3</v>
      </c>
      <c r="F3" s="199">
        <f>D3/$D$6</f>
        <v>0.76805219196362373</v>
      </c>
      <c r="G3" s="264">
        <v>32561</v>
      </c>
      <c r="H3" s="198">
        <f t="shared" ref="H3:H8" si="1">G3/P3-1</f>
        <v>4.3320836938062657E-2</v>
      </c>
      <c r="I3" s="202">
        <f>G3/$G$12</f>
        <v>0.49377492683074775</v>
      </c>
      <c r="J3" s="264">
        <v>30501</v>
      </c>
      <c r="K3" s="198">
        <f t="shared" ref="K3:K8" si="2">J3/P3-1</f>
        <v>-2.268576372200326E-2</v>
      </c>
      <c r="L3" s="202">
        <f>J3/$J$12</f>
        <v>0.51785259512046045</v>
      </c>
      <c r="M3" s="264">
        <v>31509</v>
      </c>
      <c r="N3" s="198">
        <f>M3/P3-1</f>
        <v>9.6126117466115435E-3</v>
      </c>
      <c r="O3" s="202">
        <f>M3/$M$12</f>
        <v>0.53983347039473684</v>
      </c>
      <c r="P3" s="264">
        <v>31209</v>
      </c>
      <c r="Q3" s="199">
        <f>P3/$P$12</f>
        <v>0.57214878911764167</v>
      </c>
      <c r="X3" s="370"/>
      <c r="Y3" s="3"/>
      <c r="Z3" s="3"/>
      <c r="AA3" s="40">
        <v>2025</v>
      </c>
      <c r="AB3" s="23" t="s">
        <v>2</v>
      </c>
      <c r="AC3" s="40">
        <v>2024</v>
      </c>
      <c r="AD3" s="23" t="s">
        <v>2</v>
      </c>
      <c r="AE3" s="40">
        <v>2023</v>
      </c>
      <c r="AF3" s="23" t="s">
        <v>2</v>
      </c>
      <c r="AG3" s="40">
        <v>2022</v>
      </c>
      <c r="AH3" s="23" t="s">
        <v>2</v>
      </c>
      <c r="AI3" s="40">
        <v>2021</v>
      </c>
      <c r="AL3" s="371" t="s">
        <v>5</v>
      </c>
      <c r="AM3" s="372"/>
      <c r="AN3" s="372"/>
      <c r="AO3" s="372"/>
      <c r="AP3" s="372"/>
      <c r="AQ3" s="372"/>
      <c r="AR3" s="372"/>
      <c r="AS3" s="372"/>
      <c r="AT3" s="372"/>
      <c r="AU3" s="372"/>
    </row>
    <row r="4" spans="1:47" ht="16" thickBot="1" x14ac:dyDescent="0.25">
      <c r="A4" s="369"/>
      <c r="B4" s="248" t="s">
        <v>6</v>
      </c>
      <c r="C4" s="203"/>
      <c r="D4" s="264">
        <v>5481</v>
      </c>
      <c r="E4" s="198">
        <f t="shared" si="0"/>
        <v>0.4325666492420282</v>
      </c>
      <c r="F4" s="199">
        <f t="shared" ref="F4:F5" si="3">D4/$D$6</f>
        <v>0.13544704196115256</v>
      </c>
      <c r="G4" s="264">
        <v>4884</v>
      </c>
      <c r="H4" s="198">
        <f t="shared" si="1"/>
        <v>0.27652901202300062</v>
      </c>
      <c r="I4" s="199">
        <f t="shared" ref="I4:I26" si="4">G4/$G$12</f>
        <v>7.4063964332832896E-2</v>
      </c>
      <c r="J4" s="264">
        <v>4209</v>
      </c>
      <c r="K4" s="198">
        <f t="shared" si="2"/>
        <v>0.10010454783063261</v>
      </c>
      <c r="L4" s="199">
        <f t="shared" ref="L4:L26" si="5">J4/$J$12</f>
        <v>7.1461315132684763E-2</v>
      </c>
      <c r="M4" s="264">
        <v>3935</v>
      </c>
      <c r="N4" s="198">
        <f t="shared" ref="N4:N26" si="6">M4/P4-1</f>
        <v>2.8489283847360269E-2</v>
      </c>
      <c r="O4" s="199">
        <f t="shared" ref="O4:O26" si="7">M4/$M$12</f>
        <v>6.7417077850877194E-2</v>
      </c>
      <c r="P4" s="264">
        <v>3826</v>
      </c>
      <c r="Q4" s="199">
        <f t="shared" ref="Q4:Q26" si="8">P4/$P$12</f>
        <v>7.0141345995196808E-2</v>
      </c>
      <c r="X4" s="370"/>
      <c r="Y4" s="3"/>
      <c r="Z4" s="3"/>
      <c r="AA4" s="36">
        <f>D4</f>
        <v>5481</v>
      </c>
      <c r="AB4" s="41">
        <f>AA4/AI4-1</f>
        <v>0.43256664924202815</v>
      </c>
      <c r="AC4" s="36">
        <f>G4</f>
        <v>4884</v>
      </c>
      <c r="AD4" s="41">
        <f>AC4/AI4-1</f>
        <v>0.27652901202300062</v>
      </c>
      <c r="AE4" s="36">
        <f>J4</f>
        <v>4209</v>
      </c>
      <c r="AF4" s="41">
        <f>AE4/AI4-1</f>
        <v>0.10010454783063261</v>
      </c>
      <c r="AG4" s="36">
        <f>M4</f>
        <v>3935</v>
      </c>
      <c r="AH4" s="41">
        <f>AG4/AI4-1</f>
        <v>2.8489283847360269E-2</v>
      </c>
      <c r="AI4" s="36">
        <f>P4</f>
        <v>3826</v>
      </c>
      <c r="AL4" s="4"/>
      <c r="AM4" s="4"/>
      <c r="AN4" s="53"/>
      <c r="AO4" s="4"/>
      <c r="AP4" s="53"/>
      <c r="AQ4" s="3"/>
      <c r="AR4" s="58"/>
      <c r="AS4" s="3"/>
      <c r="AT4" s="58"/>
    </row>
    <row r="5" spans="1:47" x14ac:dyDescent="0.2">
      <c r="A5" s="369"/>
      <c r="B5" s="248" t="s">
        <v>7</v>
      </c>
      <c r="C5" s="203"/>
      <c r="D5" s="264">
        <v>3905</v>
      </c>
      <c r="E5" s="198">
        <f t="shared" si="0"/>
        <v>-4.4765166340508804E-2</v>
      </c>
      <c r="F5" s="199">
        <f t="shared" si="3"/>
        <v>9.6500766075223648E-2</v>
      </c>
      <c r="G5" s="264">
        <v>4506</v>
      </c>
      <c r="H5" s="198">
        <f t="shared" si="1"/>
        <v>0.10225048923679059</v>
      </c>
      <c r="I5" s="199">
        <f t="shared" si="4"/>
        <v>6.8331741049087846E-2</v>
      </c>
      <c r="J5" s="264">
        <v>4087</v>
      </c>
      <c r="K5" s="198">
        <f t="shared" si="2"/>
        <v>-2.4461839530331986E-4</v>
      </c>
      <c r="L5" s="199">
        <f t="shared" si="5"/>
        <v>6.9389972665070715E-2</v>
      </c>
      <c r="M5" s="264">
        <v>3982</v>
      </c>
      <c r="N5" s="198">
        <f t="shared" si="6"/>
        <v>-2.5929549902152682E-2</v>
      </c>
      <c r="O5" s="199">
        <f t="shared" si="7"/>
        <v>6.8222313596491224E-2</v>
      </c>
      <c r="P5" s="264">
        <v>4088</v>
      </c>
      <c r="Q5" s="199">
        <f t="shared" si="8"/>
        <v>7.4944543237941585E-2</v>
      </c>
      <c r="X5" s="370"/>
      <c r="Y5" s="3"/>
      <c r="Z5" s="3"/>
      <c r="AA5" s="36">
        <f>D3</f>
        <v>31080</v>
      </c>
      <c r="AB5" s="41">
        <f t="shared" ref="AB5:AB25" si="9">AA5/AI5-1</f>
        <v>-4.1334230510429171E-3</v>
      </c>
      <c r="AC5" s="36">
        <f>G3</f>
        <v>32561</v>
      </c>
      <c r="AD5" s="41">
        <f t="shared" ref="AD5:AD20" si="10">AC5/AI5-1</f>
        <v>4.3320836938062657E-2</v>
      </c>
      <c r="AE5" s="36">
        <f>J3</f>
        <v>30501</v>
      </c>
      <c r="AF5" s="41">
        <f t="shared" ref="AF5:AF20" si="11">AE5/AI5-1</f>
        <v>-2.268576372200326E-2</v>
      </c>
      <c r="AG5" s="36">
        <f>M3</f>
        <v>31509</v>
      </c>
      <c r="AH5" s="41">
        <f t="shared" ref="AH5:AH20" si="12">AG5/AI5-1</f>
        <v>9.6126117466115435E-3</v>
      </c>
      <c r="AI5" s="36">
        <f>P3</f>
        <v>31209</v>
      </c>
      <c r="AL5" s="5" t="s">
        <v>8</v>
      </c>
      <c r="AM5" s="47">
        <v>2025</v>
      </c>
      <c r="AN5" s="48" t="s">
        <v>135</v>
      </c>
      <c r="AO5" s="49">
        <v>2024</v>
      </c>
      <c r="AP5" s="48" t="s">
        <v>135</v>
      </c>
      <c r="AQ5" s="50">
        <v>2023</v>
      </c>
      <c r="AR5" s="48" t="s">
        <v>135</v>
      </c>
      <c r="AS5" s="51">
        <v>2022</v>
      </c>
      <c r="AT5" s="48" t="s">
        <v>135</v>
      </c>
      <c r="AU5" s="51">
        <v>2021</v>
      </c>
    </row>
    <row r="6" spans="1:47" x14ac:dyDescent="0.2">
      <c r="A6" s="369"/>
      <c r="B6" s="249" t="s">
        <v>9</v>
      </c>
      <c r="C6" s="204"/>
      <c r="D6" s="265">
        <f>D3+D4+D5</f>
        <v>40466</v>
      </c>
      <c r="E6" s="270">
        <f t="shared" si="0"/>
        <v>3.432763336144979E-2</v>
      </c>
      <c r="F6" s="271">
        <f>D6/$D$12</f>
        <v>0.64741456546781007</v>
      </c>
      <c r="G6" s="264">
        <f>G3+G4+G5</f>
        <v>41951</v>
      </c>
      <c r="H6" s="198">
        <f t="shared" si="1"/>
        <v>7.2284845231705086E-2</v>
      </c>
      <c r="I6" s="199">
        <f t="shared" si="4"/>
        <v>0.63617063221266856</v>
      </c>
      <c r="J6" s="366">
        <f t="shared" ref="J6:P6" si="13">J3+J4+J5</f>
        <v>38797</v>
      </c>
      <c r="K6" s="198">
        <f t="shared" si="2"/>
        <v>-8.332694323032519E-3</v>
      </c>
      <c r="L6" s="199">
        <f t="shared" si="5"/>
        <v>0.65870388291821591</v>
      </c>
      <c r="M6" s="265">
        <f t="shared" si="13"/>
        <v>39426</v>
      </c>
      <c r="N6" s="198">
        <f t="shared" si="6"/>
        <v>7.7448048462540608E-3</v>
      </c>
      <c r="O6" s="199">
        <f t="shared" si="7"/>
        <v>0.67547286184210531</v>
      </c>
      <c r="P6" s="265">
        <f t="shared" si="13"/>
        <v>39123</v>
      </c>
      <c r="Q6" s="199">
        <f t="shared" si="8"/>
        <v>0.71723467835078003</v>
      </c>
      <c r="X6" s="370"/>
      <c r="Y6" s="3"/>
      <c r="Z6" s="3"/>
      <c r="AA6" s="36">
        <f>D5</f>
        <v>3905</v>
      </c>
      <c r="AB6" s="41">
        <f t="shared" si="9"/>
        <v>-4.4765166340508755E-2</v>
      </c>
      <c r="AC6" s="36">
        <f>G5</f>
        <v>4506</v>
      </c>
      <c r="AD6" s="41">
        <f t="shared" si="10"/>
        <v>0.10225048923679059</v>
      </c>
      <c r="AE6" s="36">
        <f>J5</f>
        <v>4087</v>
      </c>
      <c r="AF6" s="41">
        <f t="shared" si="11"/>
        <v>-2.4461839530331986E-4</v>
      </c>
      <c r="AG6" s="36">
        <f>M5</f>
        <v>3982</v>
      </c>
      <c r="AH6" s="41">
        <f t="shared" si="12"/>
        <v>-2.5929549902152682E-2</v>
      </c>
      <c r="AI6" s="36">
        <f>P5</f>
        <v>4088</v>
      </c>
      <c r="AL6" s="6" t="s">
        <v>10</v>
      </c>
      <c r="AM6" s="12">
        <f>SUM(D3:D5)</f>
        <v>40466</v>
      </c>
      <c r="AN6" s="54">
        <f>AM6/AU6-1</f>
        <v>3.4327633361449728E-2</v>
      </c>
      <c r="AO6" s="12">
        <f>SUM(G3:G5)</f>
        <v>41951</v>
      </c>
      <c r="AP6" s="54">
        <f>AO6/AU6-1</f>
        <v>7.2284845231705086E-2</v>
      </c>
      <c r="AQ6" s="12">
        <f>SUM(J3:J5)</f>
        <v>38797</v>
      </c>
      <c r="AR6" s="54">
        <f>AQ6/AU6-1</f>
        <v>-8.332694323032519E-3</v>
      </c>
      <c r="AS6" s="12">
        <f>SUM(M3:M5)</f>
        <v>39426</v>
      </c>
      <c r="AT6" s="54">
        <f>AS6/AU6-1</f>
        <v>7.7448048462540608E-3</v>
      </c>
      <c r="AU6" s="12">
        <f>SUM(P3:P5)</f>
        <v>39123</v>
      </c>
    </row>
    <row r="7" spans="1:47" x14ac:dyDescent="0.2">
      <c r="A7" s="369"/>
      <c r="B7" s="248" t="s">
        <v>11</v>
      </c>
      <c r="C7" s="203"/>
      <c r="D7" s="264">
        <v>5368</v>
      </c>
      <c r="E7" s="198">
        <f t="shared" si="0"/>
        <v>0.35180055401662053</v>
      </c>
      <c r="F7" s="199">
        <f>D7/$D$11</f>
        <v>0.24357927216625827</v>
      </c>
      <c r="G7" s="264">
        <v>5411</v>
      </c>
      <c r="H7" s="198">
        <f t="shared" si="1"/>
        <v>0.36262906069000245</v>
      </c>
      <c r="I7" s="199">
        <f t="shared" si="4"/>
        <v>8.2055714783980105E-2</v>
      </c>
      <c r="J7" s="264">
        <v>4519</v>
      </c>
      <c r="K7" s="198">
        <f t="shared" si="2"/>
        <v>0.13800050365147309</v>
      </c>
      <c r="L7" s="199">
        <f t="shared" si="5"/>
        <v>7.6724562386458181E-2</v>
      </c>
      <c r="M7" s="264">
        <v>4346</v>
      </c>
      <c r="N7" s="198">
        <f t="shared" si="6"/>
        <v>9.4434651221354748E-2</v>
      </c>
      <c r="O7" s="199">
        <f t="shared" si="7"/>
        <v>7.4458607456140358E-2</v>
      </c>
      <c r="P7" s="264">
        <v>3971</v>
      </c>
      <c r="Q7" s="199">
        <f t="shared" si="8"/>
        <v>7.2799604011219682E-2</v>
      </c>
      <c r="X7" s="42" t="s">
        <v>12</v>
      </c>
      <c r="Y7" s="42" t="s">
        <v>13</v>
      </c>
      <c r="Z7" s="42"/>
      <c r="AA7" s="43">
        <f>SUM(AA4:AA6)</f>
        <v>40466</v>
      </c>
      <c r="AB7" s="44">
        <f t="shared" si="9"/>
        <v>3.4327633361449728E-2</v>
      </c>
      <c r="AC7" s="43">
        <f>SUM(AC4:AC6)</f>
        <v>41951</v>
      </c>
      <c r="AD7" s="44">
        <f t="shared" si="10"/>
        <v>7.2284845231705086E-2</v>
      </c>
      <c r="AE7" s="43">
        <f>SUM(AE4:AE6)</f>
        <v>38797</v>
      </c>
      <c r="AF7" s="44">
        <f t="shared" si="11"/>
        <v>-8.332694323032519E-3</v>
      </c>
      <c r="AG7" s="43">
        <f>SUM(AG4:AG6)</f>
        <v>39426</v>
      </c>
      <c r="AH7" s="44">
        <f t="shared" si="12"/>
        <v>7.7448048462540608E-3</v>
      </c>
      <c r="AI7" s="43">
        <f>SUM(AI4:AI6)</f>
        <v>39123</v>
      </c>
      <c r="AL7" s="6" t="s">
        <v>14</v>
      </c>
      <c r="AM7" s="13">
        <f>SUM(D7:D10)-D10</f>
        <v>17404</v>
      </c>
      <c r="AN7" s="55">
        <f t="shared" ref="AN7:AN19" si="14">AM7/AU7-1</f>
        <v>0.3594750820184347</v>
      </c>
      <c r="AO7" s="13">
        <f>SUM(G7:G10)-G10</f>
        <v>17105</v>
      </c>
      <c r="AP7" s="55">
        <f t="shared" ref="AP7:AP19" si="15">AO7/AU7-1</f>
        <v>0.33611935635057022</v>
      </c>
      <c r="AQ7" s="13">
        <f>SUM(J7:J10)-J10</f>
        <v>15197</v>
      </c>
      <c r="AR7" s="55">
        <f t="shared" ref="AR7:AR19" si="16">AQ7/AU7-1</f>
        <v>0.18708014372754267</v>
      </c>
      <c r="AS7" s="13">
        <f>SUM(M7:M10)-M10</f>
        <v>14015</v>
      </c>
      <c r="AT7" s="55">
        <f t="shared" ref="AT7:AT19" si="17">AS7/AU7-1</f>
        <v>9.4750820184346107E-2</v>
      </c>
      <c r="AU7" s="13">
        <f>SUM(P7:P10)-P10</f>
        <v>12802</v>
      </c>
    </row>
    <row r="8" spans="1:47" ht="16" thickBot="1" x14ac:dyDescent="0.25">
      <c r="A8" s="369"/>
      <c r="B8" s="248" t="s">
        <v>15</v>
      </c>
      <c r="C8" s="203"/>
      <c r="D8" s="264">
        <v>9836</v>
      </c>
      <c r="E8" s="198">
        <f t="shared" si="0"/>
        <v>0.44032801288622053</v>
      </c>
      <c r="F8" s="199">
        <f t="shared" ref="F8:F10" si="18">D8/$D$11</f>
        <v>0.44631999273981304</v>
      </c>
      <c r="G8" s="264">
        <v>9364</v>
      </c>
      <c r="H8" s="198">
        <f t="shared" si="1"/>
        <v>0.37121101186118022</v>
      </c>
      <c r="I8" s="199">
        <f t="shared" si="4"/>
        <v>0.14200142547351499</v>
      </c>
      <c r="J8" s="368">
        <v>8388</v>
      </c>
      <c r="K8" s="198">
        <f t="shared" si="2"/>
        <v>0.2282911114365207</v>
      </c>
      <c r="L8" s="199">
        <f t="shared" si="5"/>
        <v>0.14241328375693985</v>
      </c>
      <c r="M8" s="264">
        <v>7514</v>
      </c>
      <c r="N8" s="198">
        <f>M8/P8-1</f>
        <v>0.10030751208083166</v>
      </c>
      <c r="O8" s="199">
        <f t="shared" si="7"/>
        <v>0.12873492324561403</v>
      </c>
      <c r="P8" s="264">
        <v>6829</v>
      </c>
      <c r="Q8" s="199">
        <f t="shared" si="8"/>
        <v>0.12519478614772581</v>
      </c>
      <c r="X8" s="3" t="s">
        <v>16</v>
      </c>
      <c r="Y8" s="3"/>
      <c r="Z8" s="3"/>
      <c r="AA8" s="36">
        <f>D7</f>
        <v>5368</v>
      </c>
      <c r="AB8" s="41">
        <f t="shared" si="9"/>
        <v>0.35180055401662047</v>
      </c>
      <c r="AC8" s="36">
        <f>G7</f>
        <v>5411</v>
      </c>
      <c r="AD8" s="41">
        <f t="shared" si="10"/>
        <v>0.36262906069000245</v>
      </c>
      <c r="AE8" s="36">
        <f>J7</f>
        <v>4519</v>
      </c>
      <c r="AF8" s="41">
        <f t="shared" si="11"/>
        <v>0.13800050365147309</v>
      </c>
      <c r="AG8" s="36">
        <f>M7</f>
        <v>4346</v>
      </c>
      <c r="AH8" s="41">
        <f t="shared" si="12"/>
        <v>9.4434651221354748E-2</v>
      </c>
      <c r="AI8" s="36">
        <f>P7</f>
        <v>3971</v>
      </c>
      <c r="AL8" s="6" t="s">
        <v>17</v>
      </c>
      <c r="AM8" s="14">
        <f>D10</f>
        <v>4634</v>
      </c>
      <c r="AN8" s="56">
        <f t="shared" si="14"/>
        <v>0.76735316552250188</v>
      </c>
      <c r="AO8" s="14">
        <f>G10</f>
        <v>6887</v>
      </c>
      <c r="AP8" s="56">
        <f t="shared" si="15"/>
        <v>1.6266209000762775</v>
      </c>
      <c r="AQ8" s="14">
        <f>J10</f>
        <v>4696</v>
      </c>
      <c r="AR8" s="56">
        <f t="shared" si="16"/>
        <v>0.79099923722349352</v>
      </c>
      <c r="AS8" s="14">
        <f>M10</f>
        <v>4927</v>
      </c>
      <c r="AT8" s="56">
        <f t="shared" si="17"/>
        <v>0.87909992372234935</v>
      </c>
      <c r="AU8" s="14">
        <f>P10</f>
        <v>2622</v>
      </c>
    </row>
    <row r="9" spans="1:47" ht="16" thickBot="1" x14ac:dyDescent="0.25">
      <c r="A9" s="369"/>
      <c r="B9" s="248" t="s">
        <v>18</v>
      </c>
      <c r="C9" s="203"/>
      <c r="D9" s="264">
        <v>2200</v>
      </c>
      <c r="E9" s="198">
        <f t="shared" ref="E9:E14" si="19">(D9-P9)/P9</f>
        <v>9.8901098901098897E-2</v>
      </c>
      <c r="F9" s="199">
        <f t="shared" si="18"/>
        <v>9.9827570559941917E-2</v>
      </c>
      <c r="G9" s="264">
        <v>2330</v>
      </c>
      <c r="H9" s="198">
        <f t="shared" ref="H9:H14" si="20">G9/P9-1</f>
        <v>0.16383616383616384</v>
      </c>
      <c r="I9" s="199">
        <f t="shared" si="4"/>
        <v>3.5333545637899401E-2</v>
      </c>
      <c r="J9" s="368">
        <v>2290</v>
      </c>
      <c r="K9" s="198">
        <f t="shared" ref="K9:K14" si="21">J9/P9-1</f>
        <v>0.14385614385614387</v>
      </c>
      <c r="L9" s="199">
        <f t="shared" si="5"/>
        <v>3.8880116810132599E-2</v>
      </c>
      <c r="M9" s="264">
        <v>2155</v>
      </c>
      <c r="N9" s="198">
        <f t="shared" si="6"/>
        <v>7.6423576423576334E-2</v>
      </c>
      <c r="O9" s="199">
        <f t="shared" si="7"/>
        <v>3.692091557017544E-2</v>
      </c>
      <c r="P9" s="264">
        <v>2002</v>
      </c>
      <c r="Q9" s="199">
        <f t="shared" si="8"/>
        <v>3.6702293435019344E-2</v>
      </c>
      <c r="X9" s="3" t="s">
        <v>19</v>
      </c>
      <c r="Y9" s="3"/>
      <c r="Z9" s="3"/>
      <c r="AA9" s="45">
        <f>D8+D9</f>
        <v>12036</v>
      </c>
      <c r="AB9" s="41">
        <f t="shared" si="9"/>
        <v>0.36292605593930483</v>
      </c>
      <c r="AC9" s="45">
        <f>G8+G9</f>
        <v>11694</v>
      </c>
      <c r="AD9" s="41">
        <f t="shared" si="10"/>
        <v>0.32419884497791873</v>
      </c>
      <c r="AE9" s="45">
        <f>J8+J9</f>
        <v>10678</v>
      </c>
      <c r="AF9" s="41">
        <f t="shared" si="11"/>
        <v>0.20914958668327488</v>
      </c>
      <c r="AG9" s="45">
        <f>M8+M9</f>
        <v>9669</v>
      </c>
      <c r="AH9" s="41">
        <f t="shared" si="12"/>
        <v>9.4892990601290972E-2</v>
      </c>
      <c r="AI9" s="45">
        <f>P8+P9</f>
        <v>8831</v>
      </c>
      <c r="AL9" s="7" t="s">
        <v>20</v>
      </c>
      <c r="AM9" s="2">
        <f>SUM(AM6:AM8)</f>
        <v>62504</v>
      </c>
      <c r="AN9" s="57">
        <f t="shared" si="14"/>
        <v>0.1458742002309934</v>
      </c>
      <c r="AO9" s="2">
        <f>SUM(AO6:AO8)</f>
        <v>65943</v>
      </c>
      <c r="AP9" s="57">
        <f t="shared" si="15"/>
        <v>0.20892074724549481</v>
      </c>
      <c r="AQ9" s="2">
        <f>SUM(AQ6:AQ8)</f>
        <v>58690</v>
      </c>
      <c r="AR9" s="57">
        <f t="shared" si="16"/>
        <v>7.5952848002639906E-2</v>
      </c>
      <c r="AS9" s="2">
        <f>SUM(AS6:AS8)</f>
        <v>58368</v>
      </c>
      <c r="AT9" s="57">
        <f t="shared" si="17"/>
        <v>7.0049681925678842E-2</v>
      </c>
      <c r="AU9" s="2">
        <f>SUM(AU6:AU8)</f>
        <v>54547</v>
      </c>
    </row>
    <row r="10" spans="1:47" ht="16" thickTop="1" x14ac:dyDescent="0.2">
      <c r="A10" s="369"/>
      <c r="B10" s="248" t="s">
        <v>21</v>
      </c>
      <c r="C10" s="203"/>
      <c r="D10" s="264">
        <v>4634</v>
      </c>
      <c r="E10" s="198">
        <f t="shared" si="19"/>
        <v>0.76735316552250188</v>
      </c>
      <c r="F10" s="199">
        <f t="shared" si="18"/>
        <v>0.21027316453398676</v>
      </c>
      <c r="G10" s="264">
        <v>6887</v>
      </c>
      <c r="H10" s="198">
        <f t="shared" si="20"/>
        <v>1.6266209000762775</v>
      </c>
      <c r="I10" s="199">
        <f t="shared" si="4"/>
        <v>0.10443868189193697</v>
      </c>
      <c r="J10" s="264">
        <v>4696</v>
      </c>
      <c r="K10" s="198">
        <f t="shared" si="21"/>
        <v>0.79099923722349352</v>
      </c>
      <c r="L10" s="199">
        <f t="shared" si="5"/>
        <v>7.9729706786193316E-2</v>
      </c>
      <c r="M10" s="264">
        <v>4927</v>
      </c>
      <c r="N10" s="198">
        <f t="shared" si="6"/>
        <v>0.87909992372234935</v>
      </c>
      <c r="O10" s="199">
        <f t="shared" si="7"/>
        <v>8.4412691885964911E-2</v>
      </c>
      <c r="P10" s="264">
        <v>2622</v>
      </c>
      <c r="Q10" s="199">
        <f t="shared" si="8"/>
        <v>4.8068638055255103E-2</v>
      </c>
      <c r="X10" s="3" t="s">
        <v>22</v>
      </c>
      <c r="Y10" s="3"/>
      <c r="Z10" s="3"/>
      <c r="AA10" s="45">
        <f>D21+D24</f>
        <v>15647</v>
      </c>
      <c r="AB10" s="41">
        <f t="shared" si="9"/>
        <v>0.30098944042570874</v>
      </c>
      <c r="AC10" s="45">
        <f>G21+G24</f>
        <v>15648</v>
      </c>
      <c r="AD10" s="41">
        <f t="shared" si="10"/>
        <v>0.30107258667997017</v>
      </c>
      <c r="AE10" s="45">
        <f>J21+J24</f>
        <v>14169</v>
      </c>
      <c r="AF10" s="41">
        <f t="shared" si="11"/>
        <v>0.17809927662758795</v>
      </c>
      <c r="AG10" s="45">
        <f>M21+M24</f>
        <v>17687</v>
      </c>
      <c r="AH10" s="41">
        <f t="shared" si="12"/>
        <v>0.47060779911864969</v>
      </c>
      <c r="AI10" s="45">
        <f>P21+P24</f>
        <v>12027</v>
      </c>
      <c r="AL10" s="6" t="s">
        <v>23</v>
      </c>
      <c r="AM10" s="13">
        <f>D17+D20</f>
        <v>43998</v>
      </c>
      <c r="AN10" s="55">
        <f t="shared" si="14"/>
        <v>9.108493490390579E-2</v>
      </c>
      <c r="AO10" s="13">
        <f>G17+G20</f>
        <v>46374</v>
      </c>
      <c r="AP10" s="55">
        <f t="shared" si="15"/>
        <v>0.15000619962802242</v>
      </c>
      <c r="AQ10" s="13">
        <f>J17+J20</f>
        <v>42389</v>
      </c>
      <c r="AR10" s="55">
        <f t="shared" si="16"/>
        <v>5.1184128952262764E-2</v>
      </c>
      <c r="AS10" s="13">
        <f>M17+M20</f>
        <v>37548</v>
      </c>
      <c r="AT10" s="55">
        <f t="shared" si="17"/>
        <v>-6.8865468071915736E-2</v>
      </c>
      <c r="AU10" s="13">
        <f>P17+P20</f>
        <v>40325</v>
      </c>
    </row>
    <row r="11" spans="1:47" x14ac:dyDescent="0.2">
      <c r="A11" s="369"/>
      <c r="B11" s="249" t="s">
        <v>24</v>
      </c>
      <c r="C11" s="204"/>
      <c r="D11" s="265">
        <f>D7+D8+D9+D10</f>
        <v>22038</v>
      </c>
      <c r="E11" s="198">
        <f t="shared" si="19"/>
        <v>0.42881224066390039</v>
      </c>
      <c r="F11" s="271">
        <f>D11/$D$12</f>
        <v>0.35258543453218993</v>
      </c>
      <c r="G11" s="264">
        <f>G7+G8+G9+G10</f>
        <v>23992</v>
      </c>
      <c r="H11" s="198">
        <f t="shared" si="20"/>
        <v>0.55549792531120334</v>
      </c>
      <c r="I11" s="199">
        <f t="shared" si="4"/>
        <v>0.36382936778733149</v>
      </c>
      <c r="J11" s="264">
        <f t="shared" ref="J11:P11" si="22">J7+J8+J9+J10</f>
        <v>19893</v>
      </c>
      <c r="K11" s="198">
        <f t="shared" si="21"/>
        <v>0.2897432572614107</v>
      </c>
      <c r="L11" s="199">
        <f t="shared" si="5"/>
        <v>0.33774766973972392</v>
      </c>
      <c r="M11" s="265">
        <f t="shared" si="22"/>
        <v>18942</v>
      </c>
      <c r="N11" s="198">
        <f t="shared" si="6"/>
        <v>0.22808609958506221</v>
      </c>
      <c r="O11" s="199">
        <f t="shared" si="7"/>
        <v>0.32452713815789475</v>
      </c>
      <c r="P11" s="265">
        <f t="shared" si="22"/>
        <v>15424</v>
      </c>
      <c r="Q11" s="199">
        <f t="shared" si="8"/>
        <v>0.28276532164921991</v>
      </c>
      <c r="X11" s="3"/>
      <c r="Y11" s="3"/>
      <c r="Z11" s="3"/>
      <c r="AA11" s="3"/>
      <c r="AB11" s="41"/>
      <c r="AC11" s="3"/>
      <c r="AD11" s="41"/>
      <c r="AE11" s="3"/>
      <c r="AF11" s="41"/>
      <c r="AG11" s="3"/>
      <c r="AH11" s="41"/>
      <c r="AI11" s="3"/>
      <c r="AL11" s="6" t="s">
        <v>25</v>
      </c>
      <c r="AM11" s="13">
        <f>D25-(D22+D23)</f>
        <v>15647</v>
      </c>
      <c r="AN11" s="55">
        <f t="shared" si="14"/>
        <v>0.30098944042570874</v>
      </c>
      <c r="AO11" s="13">
        <f>G25-(G22+G23)</f>
        <v>15648</v>
      </c>
      <c r="AP11" s="55">
        <f t="shared" si="15"/>
        <v>0.30107258667997017</v>
      </c>
      <c r="AQ11" s="13">
        <f>J25-(J22+J23)</f>
        <v>14169</v>
      </c>
      <c r="AR11" s="55">
        <f t="shared" si="16"/>
        <v>0.17809927662758795</v>
      </c>
      <c r="AS11" s="13">
        <f>M25-(M22+M23)</f>
        <v>17687</v>
      </c>
      <c r="AT11" s="55">
        <f t="shared" si="17"/>
        <v>0.47060779911864969</v>
      </c>
      <c r="AU11" s="13">
        <f>P25-(P22+P23)</f>
        <v>12027</v>
      </c>
    </row>
    <row r="12" spans="1:47" ht="15" customHeight="1" thickBot="1" x14ac:dyDescent="0.25">
      <c r="A12" s="369"/>
      <c r="B12" s="249" t="s">
        <v>20</v>
      </c>
      <c r="C12" s="205"/>
      <c r="D12" s="266">
        <f>D11+D6</f>
        <v>62504</v>
      </c>
      <c r="E12" s="272">
        <f t="shared" si="19"/>
        <v>0.14587420023099346</v>
      </c>
      <c r="F12" s="273">
        <f>F11+F6</f>
        <v>1</v>
      </c>
      <c r="G12" s="367">
        <f>G11+G6</f>
        <v>65943</v>
      </c>
      <c r="H12" s="211">
        <f t="shared" si="20"/>
        <v>0.20892074724549481</v>
      </c>
      <c r="I12" s="200">
        <f t="shared" si="4"/>
        <v>1</v>
      </c>
      <c r="J12" s="266">
        <f>J11+J6+209</f>
        <v>58899</v>
      </c>
      <c r="K12" s="211">
        <f t="shared" si="21"/>
        <v>7.9784406108493577E-2</v>
      </c>
      <c r="L12" s="201">
        <f t="shared" si="5"/>
        <v>1</v>
      </c>
      <c r="M12" s="266">
        <f t="shared" ref="M12:P12" si="23">M11+M6</f>
        <v>58368</v>
      </c>
      <c r="N12" s="200">
        <f t="shared" si="6"/>
        <v>7.0049681925678842E-2</v>
      </c>
      <c r="O12" s="201">
        <f t="shared" si="7"/>
        <v>1</v>
      </c>
      <c r="P12" s="266">
        <f t="shared" si="23"/>
        <v>54547</v>
      </c>
      <c r="Q12" s="201">
        <f t="shared" si="8"/>
        <v>1</v>
      </c>
      <c r="X12" s="42" t="s">
        <v>26</v>
      </c>
      <c r="Y12" s="42" t="s">
        <v>27</v>
      </c>
      <c r="Z12" s="42"/>
      <c r="AA12" s="46">
        <f>AA8+AA9-AA10</f>
        <v>1757</v>
      </c>
      <c r="AB12" s="44">
        <f t="shared" si="9"/>
        <v>1.2670967741935484</v>
      </c>
      <c r="AC12" s="46">
        <f>AC8+AC9-AC10</f>
        <v>1457</v>
      </c>
      <c r="AD12" s="44">
        <f t="shared" si="10"/>
        <v>0.87999999999999989</v>
      </c>
      <c r="AE12" s="46">
        <f>AE8+AE9-AE10</f>
        <v>1028</v>
      </c>
      <c r="AF12" s="44">
        <f t="shared" si="11"/>
        <v>0.32645161290322577</v>
      </c>
      <c r="AG12" s="46">
        <f>AG8+AG9-AG10</f>
        <v>-3672</v>
      </c>
      <c r="AH12" s="44">
        <f t="shared" si="12"/>
        <v>-5.7380645161290325</v>
      </c>
      <c r="AI12" s="46">
        <f>AI8+AI9-AI10</f>
        <v>775</v>
      </c>
      <c r="AL12" s="8" t="s">
        <v>28</v>
      </c>
      <c r="AM12" s="14">
        <f>SUM(D22:D23)</f>
        <v>2859</v>
      </c>
      <c r="AN12" s="56">
        <f t="shared" si="14"/>
        <v>0.30250569476082001</v>
      </c>
      <c r="AO12" s="14">
        <f>SUM(G22:G23)</f>
        <v>3921</v>
      </c>
      <c r="AP12" s="56">
        <f t="shared" si="15"/>
        <v>0.78633257403189072</v>
      </c>
      <c r="AQ12" s="14">
        <f>SUM(J22:J23)</f>
        <v>2341</v>
      </c>
      <c r="AR12" s="56">
        <f t="shared" si="16"/>
        <v>6.6514806378132008E-2</v>
      </c>
      <c r="AS12" s="14">
        <f>SUM(M22:M23)</f>
        <v>3133</v>
      </c>
      <c r="AT12" s="56">
        <f t="shared" si="17"/>
        <v>0.42733485193621878</v>
      </c>
      <c r="AU12" s="14">
        <f>SUM(P22:P23)</f>
        <v>2195</v>
      </c>
    </row>
    <row r="13" spans="1:47" ht="15" customHeight="1" thickTop="1" thickBot="1" x14ac:dyDescent="0.25">
      <c r="A13" s="369"/>
      <c r="B13" s="248" t="s">
        <v>29</v>
      </c>
      <c r="C13" s="203"/>
      <c r="D13" s="264">
        <v>2308</v>
      </c>
      <c r="E13" s="198">
        <f t="shared" si="19"/>
        <v>1.4059753954305799E-2</v>
      </c>
      <c r="F13" s="199">
        <f>D13/$D$17</f>
        <v>9.43774279288489E-2</v>
      </c>
      <c r="G13" s="264">
        <v>2303</v>
      </c>
      <c r="H13" s="198">
        <f t="shared" si="20"/>
        <v>1.1862917398945516E-2</v>
      </c>
      <c r="I13" s="199">
        <f t="shared" si="4"/>
        <v>3.4924101117631896E-2</v>
      </c>
      <c r="J13" s="264">
        <v>2291</v>
      </c>
      <c r="K13" s="198">
        <f t="shared" si="21"/>
        <v>6.5905096660807683E-3</v>
      </c>
      <c r="L13" s="199">
        <f t="shared" si="5"/>
        <v>3.8897095027080254E-2</v>
      </c>
      <c r="M13" s="264">
        <v>2284</v>
      </c>
      <c r="N13" s="198">
        <f t="shared" si="6"/>
        <v>3.5149384885764245E-3</v>
      </c>
      <c r="O13" s="199">
        <f t="shared" si="7"/>
        <v>3.9131030701754388E-2</v>
      </c>
      <c r="P13" s="264">
        <v>2276</v>
      </c>
      <c r="Q13" s="199">
        <f t="shared" si="8"/>
        <v>4.17254844446074E-2</v>
      </c>
      <c r="X13" s="3"/>
      <c r="Y13" s="3"/>
      <c r="Z13" s="3"/>
      <c r="AA13" s="3"/>
      <c r="AB13" s="41"/>
      <c r="AC13" s="3"/>
      <c r="AD13" s="41"/>
      <c r="AE13" s="3"/>
      <c r="AF13" s="41"/>
      <c r="AG13" s="3"/>
      <c r="AH13" s="41"/>
      <c r="AI13" s="3"/>
      <c r="AL13" s="9" t="s">
        <v>30</v>
      </c>
      <c r="AM13" s="15">
        <f>SUM(AM10:AM12)</f>
        <v>62504</v>
      </c>
      <c r="AN13" s="57">
        <f t="shared" si="14"/>
        <v>0.1458742002309934</v>
      </c>
      <c r="AO13" s="15">
        <f>SUM(AO10:AO12)</f>
        <v>65943</v>
      </c>
      <c r="AP13" s="57">
        <f t="shared" si="15"/>
        <v>0.20892074724549481</v>
      </c>
      <c r="AQ13" s="15">
        <f>SUM(AQ10:AQ12)</f>
        <v>58899</v>
      </c>
      <c r="AR13" s="57">
        <f t="shared" si="16"/>
        <v>7.9784406108493577E-2</v>
      </c>
      <c r="AS13" s="15">
        <f>SUM(AS10:AS12)</f>
        <v>58368</v>
      </c>
      <c r="AT13" s="57">
        <f t="shared" si="17"/>
        <v>7.0049681925678842E-2</v>
      </c>
      <c r="AU13" s="15">
        <f>SUM(AU10:AU12)</f>
        <v>54547</v>
      </c>
    </row>
    <row r="14" spans="1:47" x14ac:dyDescent="0.2">
      <c r="A14" s="369"/>
      <c r="B14" s="250" t="s">
        <v>31</v>
      </c>
      <c r="C14" s="203"/>
      <c r="D14" s="269">
        <f>(24159000+256000)/1000</f>
        <v>24415</v>
      </c>
      <c r="E14" s="198">
        <f t="shared" si="19"/>
        <v>2.9770320899169245</v>
      </c>
      <c r="F14" s="199">
        <f t="shared" ref="F14:F16" si="24">D14/$D$17</f>
        <v>0.99836434267021057</v>
      </c>
      <c r="G14" s="264">
        <v>5300</v>
      </c>
      <c r="H14" s="198">
        <f t="shared" si="20"/>
        <v>-0.1366672096432644</v>
      </c>
      <c r="I14" s="199">
        <f t="shared" si="4"/>
        <v>8.0372442867324811E-2</v>
      </c>
      <c r="J14" s="264">
        <v>3284</v>
      </c>
      <c r="K14" s="198">
        <f t="shared" si="21"/>
        <v>-0.46505945593744913</v>
      </c>
      <c r="L14" s="199">
        <f t="shared" si="5"/>
        <v>5.5756464456102821E-2</v>
      </c>
      <c r="M14" s="264">
        <v>3998</v>
      </c>
      <c r="N14" s="198">
        <f t="shared" si="6"/>
        <v>-0.34875386870825864</v>
      </c>
      <c r="O14" s="199">
        <f t="shared" si="7"/>
        <v>6.8496436403508776E-2</v>
      </c>
      <c r="P14" s="264">
        <v>6139</v>
      </c>
      <c r="Q14" s="199">
        <f t="shared" si="8"/>
        <v>0.11254514455423763</v>
      </c>
      <c r="X14" s="42" t="s">
        <v>32</v>
      </c>
      <c r="Y14" s="42" t="s">
        <v>33</v>
      </c>
      <c r="Z14" s="42"/>
      <c r="AA14" s="46">
        <f>AA7+AA12</f>
        <v>42223</v>
      </c>
      <c r="AB14" s="44">
        <f t="shared" si="9"/>
        <v>5.8273597674068922E-2</v>
      </c>
      <c r="AC14" s="46">
        <f>AC7+AC12</f>
        <v>43408</v>
      </c>
      <c r="AD14" s="44">
        <f t="shared" si="10"/>
        <v>8.7974334553110323E-2</v>
      </c>
      <c r="AE14" s="46">
        <f>AE7+AE12</f>
        <v>39825</v>
      </c>
      <c r="AF14" s="44">
        <f t="shared" si="11"/>
        <v>-1.8296656474008355E-3</v>
      </c>
      <c r="AG14" s="46">
        <f>AG7+AG12</f>
        <v>35754</v>
      </c>
      <c r="AH14" s="44">
        <f t="shared" si="12"/>
        <v>-0.10386485538122214</v>
      </c>
      <c r="AI14" s="46">
        <f>AI7+AI12</f>
        <v>39898</v>
      </c>
      <c r="AL14" s="3"/>
      <c r="AM14" s="3"/>
      <c r="AN14" s="58"/>
      <c r="AO14" s="3"/>
      <c r="AP14" s="58"/>
      <c r="AQ14" s="3"/>
      <c r="AR14" s="58"/>
      <c r="AS14" s="3"/>
      <c r="AT14" s="58"/>
      <c r="AU14" s="3"/>
    </row>
    <row r="15" spans="1:47" ht="16" thickBot="1" x14ac:dyDescent="0.25">
      <c r="A15" s="369"/>
      <c r="B15" s="250" t="s">
        <v>34</v>
      </c>
      <c r="C15" s="203"/>
      <c r="D15" s="264">
        <v>0</v>
      </c>
      <c r="E15" s="198"/>
      <c r="F15" s="199"/>
      <c r="G15" s="264">
        <v>0</v>
      </c>
      <c r="H15" s="198"/>
      <c r="I15" s="199"/>
      <c r="J15" s="264">
        <v>0</v>
      </c>
      <c r="K15" s="198"/>
      <c r="L15" s="199">
        <f t="shared" si="5"/>
        <v>0</v>
      </c>
      <c r="M15" s="264">
        <v>0</v>
      </c>
      <c r="N15" s="198"/>
      <c r="O15" s="199"/>
      <c r="P15" s="264">
        <v>0</v>
      </c>
      <c r="Q15" s="199">
        <f t="shared" si="8"/>
        <v>0</v>
      </c>
      <c r="X15" s="3" t="s">
        <v>35</v>
      </c>
      <c r="Y15" s="3"/>
      <c r="Z15" s="3"/>
      <c r="AA15" s="36">
        <f>D13</f>
        <v>2308</v>
      </c>
      <c r="AB15" s="41">
        <f t="shared" si="9"/>
        <v>1.4059753954305698E-2</v>
      </c>
      <c r="AC15" s="36">
        <f>G13</f>
        <v>2303</v>
      </c>
      <c r="AD15" s="41">
        <f t="shared" si="10"/>
        <v>1.1862917398945516E-2</v>
      </c>
      <c r="AE15" s="36">
        <f>J13</f>
        <v>2291</v>
      </c>
      <c r="AF15" s="41">
        <f t="shared" si="11"/>
        <v>6.5905096660807683E-3</v>
      </c>
      <c r="AG15" s="36">
        <f>M13</f>
        <v>2284</v>
      </c>
      <c r="AH15" s="41">
        <f t="shared" si="12"/>
        <v>3.5149384885764245E-3</v>
      </c>
      <c r="AI15" s="36">
        <f>P13</f>
        <v>2276</v>
      </c>
      <c r="AL15" s="3"/>
      <c r="AM15" s="3"/>
      <c r="AN15" s="58"/>
      <c r="AO15" s="3"/>
      <c r="AP15" s="58"/>
      <c r="AQ15" s="3"/>
      <c r="AR15" s="58"/>
      <c r="AS15" s="3"/>
      <c r="AT15" s="58"/>
      <c r="AU15" s="3"/>
    </row>
    <row r="16" spans="1:47" x14ac:dyDescent="0.2">
      <c r="A16" s="369"/>
      <c r="B16" s="248" t="s">
        <v>36</v>
      </c>
      <c r="C16" s="203"/>
      <c r="D16" s="264">
        <v>-2268</v>
      </c>
      <c r="E16" s="198">
        <f t="shared" ref="E16:E21" si="25">(D16-P16)/P16</f>
        <v>-1.1151619782674926</v>
      </c>
      <c r="F16" s="199">
        <f t="shared" si="24"/>
        <v>-9.2741770599059498E-2</v>
      </c>
      <c r="G16" s="264">
        <v>23677</v>
      </c>
      <c r="H16" s="198">
        <f t="shared" ref="H16:H21" si="26">G16/P16-1</f>
        <v>0.20224433837717082</v>
      </c>
      <c r="I16" s="199">
        <f t="shared" si="4"/>
        <v>0.35905251505087726</v>
      </c>
      <c r="J16" s="264">
        <v>21593</v>
      </c>
      <c r="K16" s="198">
        <f t="shared" ref="K16:K21" si="27">J16/P16-1</f>
        <v>9.6425307200162402E-2</v>
      </c>
      <c r="L16" s="199">
        <f t="shared" si="5"/>
        <v>0.36661063855073939</v>
      </c>
      <c r="M16" s="264">
        <v>19812</v>
      </c>
      <c r="N16" s="198">
        <f>M16/P16-1</f>
        <v>5.9916725906368207E-3</v>
      </c>
      <c r="O16" s="199">
        <f t="shared" si="7"/>
        <v>0.33943256578947367</v>
      </c>
      <c r="P16" s="264">
        <v>19694</v>
      </c>
      <c r="Q16" s="199">
        <f t="shared" si="8"/>
        <v>0.36104643701761785</v>
      </c>
      <c r="X16" s="3" t="s">
        <v>37</v>
      </c>
      <c r="Y16" s="3"/>
      <c r="Z16" s="3"/>
      <c r="AA16" s="36">
        <f>D14</f>
        <v>24415</v>
      </c>
      <c r="AB16" s="41">
        <f t="shared" si="9"/>
        <v>2.9770320899169245</v>
      </c>
      <c r="AC16" s="36">
        <f>G14</f>
        <v>5300</v>
      </c>
      <c r="AD16" s="41">
        <f t="shared" si="10"/>
        <v>-0.1366672096432644</v>
      </c>
      <c r="AE16" s="36">
        <f>J14</f>
        <v>3284</v>
      </c>
      <c r="AF16" s="41">
        <f t="shared" si="11"/>
        <v>-0.46505945593744913</v>
      </c>
      <c r="AG16" s="36">
        <f>M14</f>
        <v>3998</v>
      </c>
      <c r="AH16" s="41">
        <f t="shared" si="12"/>
        <v>-0.34875386870825864</v>
      </c>
      <c r="AI16" s="36">
        <f>P14</f>
        <v>6139</v>
      </c>
      <c r="AL16" s="5" t="s">
        <v>38</v>
      </c>
      <c r="AM16" s="47">
        <v>2025</v>
      </c>
      <c r="AN16" s="48" t="s">
        <v>135</v>
      </c>
      <c r="AO16" s="49">
        <v>2024</v>
      </c>
      <c r="AP16" s="48" t="s">
        <v>135</v>
      </c>
      <c r="AQ16" s="50">
        <v>2023</v>
      </c>
      <c r="AR16" s="48" t="s">
        <v>135</v>
      </c>
      <c r="AS16" s="51">
        <v>2022</v>
      </c>
      <c r="AT16" s="48" t="s">
        <v>135</v>
      </c>
      <c r="AU16" s="51">
        <v>2021</v>
      </c>
    </row>
    <row r="17" spans="1:47" x14ac:dyDescent="0.2">
      <c r="A17" s="369"/>
      <c r="B17" s="249" t="s">
        <v>39</v>
      </c>
      <c r="C17" s="204"/>
      <c r="D17" s="265">
        <f>SUM(D13:D16)</f>
        <v>24455</v>
      </c>
      <c r="E17" s="270">
        <f t="shared" si="25"/>
        <v>-0.12999395211498097</v>
      </c>
      <c r="F17" s="271">
        <f>D17/$D$26</f>
        <v>0.39125495968258034</v>
      </c>
      <c r="G17" s="264">
        <f>SUM(G13:G16)</f>
        <v>31280</v>
      </c>
      <c r="H17" s="198">
        <f t="shared" si="26"/>
        <v>0.11281084350208115</v>
      </c>
      <c r="I17" s="199">
        <f t="shared" si="4"/>
        <v>0.47434905903583396</v>
      </c>
      <c r="J17" s="264">
        <f t="shared" ref="J17:P17" si="28">SUM(J13:J16)</f>
        <v>27168</v>
      </c>
      <c r="K17" s="198">
        <f t="shared" si="27"/>
        <v>-3.3476822370059445E-2</v>
      </c>
      <c r="L17" s="199">
        <f t="shared" si="5"/>
        <v>0.46126419803392249</v>
      </c>
      <c r="M17" s="265">
        <f t="shared" si="28"/>
        <v>26094</v>
      </c>
      <c r="N17" s="198">
        <f t="shared" si="6"/>
        <v>-7.1685225372656425E-2</v>
      </c>
      <c r="O17" s="199">
        <f t="shared" si="7"/>
        <v>0.44706003289473684</v>
      </c>
      <c r="P17" s="265">
        <f t="shared" si="28"/>
        <v>28109</v>
      </c>
      <c r="Q17" s="199">
        <f t="shared" si="8"/>
        <v>0.51531706601646288</v>
      </c>
      <c r="X17" s="3" t="s">
        <v>40</v>
      </c>
      <c r="Y17" s="3"/>
      <c r="Z17" s="3"/>
      <c r="AA17" s="36">
        <f>D16</f>
        <v>-2268</v>
      </c>
      <c r="AB17" s="41"/>
      <c r="AC17" s="36">
        <f>G16</f>
        <v>23677</v>
      </c>
      <c r="AD17" s="41"/>
      <c r="AE17" s="36">
        <f>J16</f>
        <v>21593</v>
      </c>
      <c r="AF17" s="41"/>
      <c r="AG17" s="36">
        <f>M16</f>
        <v>19812</v>
      </c>
      <c r="AH17" s="41"/>
      <c r="AI17" s="36">
        <f>P16</f>
        <v>19694</v>
      </c>
      <c r="AL17" s="6" t="s">
        <v>41</v>
      </c>
      <c r="AM17" s="17">
        <f>AM10-AM6</f>
        <v>3532</v>
      </c>
      <c r="AN17" s="54">
        <f t="shared" si="14"/>
        <v>1.9384359400998337</v>
      </c>
      <c r="AO17" s="17">
        <f>AO10-AO6</f>
        <v>4423</v>
      </c>
      <c r="AP17" s="54">
        <f t="shared" si="15"/>
        <v>2.6797004991680531</v>
      </c>
      <c r="AQ17" s="17">
        <f>AQ10-AQ6</f>
        <v>3592</v>
      </c>
      <c r="AR17" s="54">
        <f t="shared" si="16"/>
        <v>1.9883527454242929</v>
      </c>
      <c r="AS17" s="17">
        <f>AS10-AS6</f>
        <v>-1878</v>
      </c>
      <c r="AT17" s="54">
        <f t="shared" si="17"/>
        <v>-2.562396006655574</v>
      </c>
      <c r="AU17" s="17">
        <f>AU10-AU6</f>
        <v>1202</v>
      </c>
    </row>
    <row r="18" spans="1:47" x14ac:dyDescent="0.2">
      <c r="A18" s="369"/>
      <c r="B18" s="248" t="s">
        <v>42</v>
      </c>
      <c r="C18" s="203"/>
      <c r="D18" s="264">
        <v>15021</v>
      </c>
      <c r="E18" s="198">
        <f t="shared" si="25"/>
        <v>0.98848292295472595</v>
      </c>
      <c r="F18" s="199">
        <f>D18/$D$20</f>
        <v>0.76861280253799313</v>
      </c>
      <c r="G18" s="264">
        <v>10910</v>
      </c>
      <c r="H18" s="198">
        <f t="shared" si="26"/>
        <v>0.44426793751654747</v>
      </c>
      <c r="I18" s="199">
        <f t="shared" si="4"/>
        <v>0.16544591541179504</v>
      </c>
      <c r="J18" s="264">
        <v>11592</v>
      </c>
      <c r="K18" s="198">
        <f t="shared" si="27"/>
        <v>0.53455123113582204</v>
      </c>
      <c r="L18" s="199">
        <f t="shared" si="5"/>
        <v>0.19681149085723018</v>
      </c>
      <c r="M18" s="264">
        <v>7330</v>
      </c>
      <c r="N18" s="198">
        <f t="shared" si="6"/>
        <v>-2.9653163886682599E-2</v>
      </c>
      <c r="O18" s="199">
        <f t="shared" si="7"/>
        <v>0.12558251096491227</v>
      </c>
      <c r="P18" s="264">
        <v>7554</v>
      </c>
      <c r="Q18" s="199">
        <f t="shared" si="8"/>
        <v>0.1384860762278402</v>
      </c>
      <c r="X18" s="42" t="s">
        <v>43</v>
      </c>
      <c r="Y18" s="42" t="s">
        <v>44</v>
      </c>
      <c r="Z18" s="42"/>
      <c r="AA18" s="46">
        <f>AA15+AA16+AA17</f>
        <v>24455</v>
      </c>
      <c r="AB18" s="44">
        <f t="shared" si="9"/>
        <v>-0.12999395211498099</v>
      </c>
      <c r="AC18" s="46">
        <f>AC15+AC16+AC17</f>
        <v>31280</v>
      </c>
      <c r="AD18" s="44">
        <f t="shared" si="10"/>
        <v>0.11281084350208115</v>
      </c>
      <c r="AE18" s="46">
        <f>AE15+AE16+AE17</f>
        <v>27168</v>
      </c>
      <c r="AF18" s="44">
        <f t="shared" si="11"/>
        <v>-3.3476822370059445E-2</v>
      </c>
      <c r="AG18" s="46">
        <f>AG15+AG16+AG17</f>
        <v>26094</v>
      </c>
      <c r="AH18" s="44">
        <f t="shared" si="12"/>
        <v>-7.1685225372656425E-2</v>
      </c>
      <c r="AI18" s="46">
        <f>AI15+AI16+AI17</f>
        <v>28109</v>
      </c>
      <c r="AL18" s="6" t="s">
        <v>45</v>
      </c>
      <c r="AM18" s="13">
        <f>AM7-AM11</f>
        <v>1757</v>
      </c>
      <c r="AN18" s="55">
        <f t="shared" si="14"/>
        <v>1.2670967741935484</v>
      </c>
      <c r="AO18" s="13">
        <f>AO7-AO11</f>
        <v>1457</v>
      </c>
      <c r="AP18" s="55">
        <f t="shared" si="15"/>
        <v>0.87999999999999989</v>
      </c>
      <c r="AQ18" s="13">
        <f>AQ7-AQ11</f>
        <v>1028</v>
      </c>
      <c r="AR18" s="55">
        <f t="shared" si="16"/>
        <v>0.32645161290322577</v>
      </c>
      <c r="AS18" s="13">
        <f>AS7-AS11</f>
        <v>-3672</v>
      </c>
      <c r="AT18" s="55">
        <f t="shared" si="17"/>
        <v>-5.7380645161290325</v>
      </c>
      <c r="AU18" s="13">
        <f>AU7-AU11</f>
        <v>775</v>
      </c>
    </row>
    <row r="19" spans="1:47" ht="16" thickBot="1" x14ac:dyDescent="0.25">
      <c r="A19" s="369"/>
      <c r="B19" s="248" t="s">
        <v>46</v>
      </c>
      <c r="C19" s="203"/>
      <c r="D19" s="264">
        <v>4522</v>
      </c>
      <c r="E19" s="198">
        <f t="shared" si="25"/>
        <v>-3.003003003003003E-2</v>
      </c>
      <c r="F19" s="199">
        <f t="shared" ref="F19" si="29">D19/$D$20</f>
        <v>0.23138719746200687</v>
      </c>
      <c r="G19" s="264">
        <v>4184</v>
      </c>
      <c r="H19" s="198">
        <f t="shared" si="26"/>
        <v>-0.10253110253110254</v>
      </c>
      <c r="I19" s="199">
        <f t="shared" si="4"/>
        <v>6.3448736029601327E-2</v>
      </c>
      <c r="J19" s="264">
        <v>3629</v>
      </c>
      <c r="K19" s="198">
        <f t="shared" si="27"/>
        <v>-0.2215787215787216</v>
      </c>
      <c r="L19" s="199">
        <f t="shared" si="5"/>
        <v>6.1613949303044195E-2</v>
      </c>
      <c r="M19" s="264">
        <v>4124</v>
      </c>
      <c r="N19" s="198">
        <f t="shared" si="6"/>
        <v>-0.11540111540111542</v>
      </c>
      <c r="O19" s="199">
        <f t="shared" si="7"/>
        <v>7.0655153508771926E-2</v>
      </c>
      <c r="P19" s="264">
        <v>4662</v>
      </c>
      <c r="Q19" s="199">
        <f t="shared" si="8"/>
        <v>8.5467578418611467E-2</v>
      </c>
      <c r="X19" s="3" t="s">
        <v>47</v>
      </c>
      <c r="Y19" s="3"/>
      <c r="Z19" s="3"/>
      <c r="AA19" s="36">
        <f>D20</f>
        <v>19543</v>
      </c>
      <c r="AB19" s="41">
        <f t="shared" si="9"/>
        <v>0.59978716437459068</v>
      </c>
      <c r="AC19" s="36">
        <f>G20</f>
        <v>15094</v>
      </c>
      <c r="AD19" s="41">
        <f t="shared" si="10"/>
        <v>0.23559266535690893</v>
      </c>
      <c r="AE19" s="36">
        <f>J20</f>
        <v>15221</v>
      </c>
      <c r="AF19" s="41">
        <f t="shared" si="11"/>
        <v>0.245988867059594</v>
      </c>
      <c r="AG19" s="36">
        <f>M20</f>
        <v>11454</v>
      </c>
      <c r="AH19" s="41">
        <f t="shared" si="12"/>
        <v>-6.237721021610998E-2</v>
      </c>
      <c r="AI19" s="36">
        <f>P20</f>
        <v>12216</v>
      </c>
      <c r="AL19" s="10" t="s">
        <v>48</v>
      </c>
      <c r="AM19" s="18">
        <f>+AM17+AM18</f>
        <v>5289</v>
      </c>
      <c r="AN19" s="56">
        <f t="shared" si="14"/>
        <v>1.6752655538694992</v>
      </c>
      <c r="AO19" s="18">
        <f>+AO17+AO18</f>
        <v>5880</v>
      </c>
      <c r="AP19" s="56">
        <f t="shared" si="15"/>
        <v>1.9742033383915021</v>
      </c>
      <c r="AQ19" s="18">
        <f>+AQ17+AQ18</f>
        <v>4620</v>
      </c>
      <c r="AR19" s="56">
        <f t="shared" si="16"/>
        <v>1.3368740515933233</v>
      </c>
      <c r="AS19" s="18">
        <f>+AS17+AS18</f>
        <v>-5550</v>
      </c>
      <c r="AT19" s="56">
        <f t="shared" si="17"/>
        <v>-3.8072837632776935</v>
      </c>
      <c r="AU19" s="18">
        <f>+AU17+AU18</f>
        <v>1977</v>
      </c>
    </row>
    <row r="20" spans="1:47" x14ac:dyDescent="0.2">
      <c r="A20" s="369"/>
      <c r="B20" s="249" t="s">
        <v>49</v>
      </c>
      <c r="C20" s="204"/>
      <c r="D20" s="265">
        <f>SUM(D18:D19)</f>
        <v>19543</v>
      </c>
      <c r="E20" s="270">
        <f t="shared" si="25"/>
        <v>0.59978716437459068</v>
      </c>
      <c r="F20" s="271">
        <f>D20/$D$26</f>
        <v>0.31266798924868811</v>
      </c>
      <c r="G20" s="264">
        <f>G18+G19</f>
        <v>15094</v>
      </c>
      <c r="H20" s="198">
        <f t="shared" si="26"/>
        <v>0.23559266535690893</v>
      </c>
      <c r="I20" s="199">
        <f t="shared" si="4"/>
        <v>0.22889465144139637</v>
      </c>
      <c r="J20" s="264">
        <f t="shared" ref="J20:P20" si="30">J18+J19</f>
        <v>15221</v>
      </c>
      <c r="K20" s="198">
        <f t="shared" si="27"/>
        <v>0.245988867059594</v>
      </c>
      <c r="L20" s="199">
        <f t="shared" si="5"/>
        <v>0.25842544016027436</v>
      </c>
      <c r="M20" s="265">
        <f t="shared" si="30"/>
        <v>11454</v>
      </c>
      <c r="N20" s="198">
        <f t="shared" si="6"/>
        <v>-6.237721021610998E-2</v>
      </c>
      <c r="O20" s="199">
        <f t="shared" si="7"/>
        <v>0.19623766447368421</v>
      </c>
      <c r="P20" s="265">
        <f t="shared" si="30"/>
        <v>12216</v>
      </c>
      <c r="Q20" s="199">
        <f t="shared" si="8"/>
        <v>0.22395365464645167</v>
      </c>
      <c r="X20" s="3" t="s">
        <v>50</v>
      </c>
      <c r="Y20" s="3"/>
      <c r="Z20" s="3"/>
      <c r="AA20" s="36">
        <f>D23+D22</f>
        <v>2859</v>
      </c>
      <c r="AB20" s="41">
        <f t="shared" si="9"/>
        <v>0.30250569476082001</v>
      </c>
      <c r="AC20" s="36">
        <f>G23+G22</f>
        <v>3921</v>
      </c>
      <c r="AD20" s="41">
        <f t="shared" si="10"/>
        <v>0.78633257403189072</v>
      </c>
      <c r="AE20" s="36">
        <f>J23+J22</f>
        <v>2341</v>
      </c>
      <c r="AF20" s="41">
        <f t="shared" si="11"/>
        <v>6.6514806378132008E-2</v>
      </c>
      <c r="AG20" s="36">
        <f>M23+M22</f>
        <v>3133</v>
      </c>
      <c r="AH20" s="41">
        <f t="shared" si="12"/>
        <v>0.42733485193621878</v>
      </c>
      <c r="AI20" s="36">
        <f>P23+P22</f>
        <v>2195</v>
      </c>
    </row>
    <row r="21" spans="1:47" x14ac:dyDescent="0.2">
      <c r="A21" s="369"/>
      <c r="B21" s="248" t="s">
        <v>51</v>
      </c>
      <c r="C21" s="203"/>
      <c r="D21" s="264">
        <v>9327</v>
      </c>
      <c r="E21" s="198">
        <f t="shared" si="25"/>
        <v>0.63202099737532813</v>
      </c>
      <c r="F21" s="199">
        <f>D21/$D$25</f>
        <v>0.50399870312331141</v>
      </c>
      <c r="G21" s="264">
        <v>8893</v>
      </c>
      <c r="H21" s="198">
        <f t="shared" si="26"/>
        <v>0.55608048993875769</v>
      </c>
      <c r="I21" s="199">
        <f t="shared" si="4"/>
        <v>0.13485889328662634</v>
      </c>
      <c r="J21" s="264">
        <v>7596</v>
      </c>
      <c r="K21" s="198">
        <f t="shared" si="27"/>
        <v>0.32913385826771657</v>
      </c>
      <c r="L21" s="199">
        <f t="shared" si="5"/>
        <v>0.12896653593439616</v>
      </c>
      <c r="M21" s="264">
        <v>6254</v>
      </c>
      <c r="N21" s="198">
        <f>M21/P21-1</f>
        <v>9.4313210848643969E-2</v>
      </c>
      <c r="O21" s="199">
        <f t="shared" si="7"/>
        <v>0.10714775219298246</v>
      </c>
      <c r="P21" s="264">
        <v>5715</v>
      </c>
      <c r="Q21" s="199">
        <f t="shared" si="8"/>
        <v>0.10477203145910866</v>
      </c>
      <c r="X21" s="3" t="s">
        <v>52</v>
      </c>
      <c r="Y21" s="3"/>
      <c r="Z21" s="3"/>
      <c r="AA21" s="3"/>
      <c r="AB21" s="41"/>
      <c r="AC21" s="3"/>
      <c r="AD21" s="41"/>
      <c r="AE21" s="3"/>
      <c r="AF21" s="41"/>
      <c r="AG21" s="3"/>
      <c r="AH21" s="41"/>
      <c r="AI21" s="3"/>
    </row>
    <row r="22" spans="1:47" x14ac:dyDescent="0.2">
      <c r="A22" s="369"/>
      <c r="B22" s="251" t="s">
        <v>53</v>
      </c>
      <c r="C22" s="206"/>
      <c r="D22" s="264">
        <v>0</v>
      </c>
      <c r="E22" s="198"/>
      <c r="F22" s="199"/>
      <c r="G22" s="264">
        <v>0</v>
      </c>
      <c r="H22" s="198"/>
      <c r="I22" s="199"/>
      <c r="J22" s="264">
        <v>0</v>
      </c>
      <c r="K22" s="198"/>
      <c r="L22" s="199"/>
      <c r="M22" s="264">
        <v>0</v>
      </c>
      <c r="N22" s="198"/>
      <c r="O22" s="199"/>
      <c r="P22" s="264">
        <v>0</v>
      </c>
      <c r="Q22" s="199">
        <f t="shared" si="8"/>
        <v>0</v>
      </c>
      <c r="X22" s="3" t="s">
        <v>54</v>
      </c>
      <c r="Y22" s="3"/>
      <c r="Z22" s="3"/>
      <c r="AA22" s="36">
        <f>+D10</f>
        <v>4634</v>
      </c>
      <c r="AB22" s="41">
        <f t="shared" si="9"/>
        <v>0.76735316552250188</v>
      </c>
      <c r="AC22" s="36">
        <f>+G10</f>
        <v>6887</v>
      </c>
      <c r="AD22" s="41">
        <f>AC22/AI22-1</f>
        <v>1.6266209000762775</v>
      </c>
      <c r="AE22" s="36">
        <f>+J10</f>
        <v>4696</v>
      </c>
      <c r="AF22" s="41">
        <f>AE22/AI22-1</f>
        <v>0.79099923722349352</v>
      </c>
      <c r="AG22" s="36">
        <f>+M10</f>
        <v>4927</v>
      </c>
      <c r="AH22" s="41">
        <f>AG22/AI22-1</f>
        <v>0.87909992372234935</v>
      </c>
      <c r="AI22" s="36">
        <f>+P10</f>
        <v>2622</v>
      </c>
    </row>
    <row r="23" spans="1:47" x14ac:dyDescent="0.2">
      <c r="A23" s="369"/>
      <c r="B23" s="248" t="s">
        <v>42</v>
      </c>
      <c r="C23" s="203"/>
      <c r="D23" s="264">
        <v>2859</v>
      </c>
      <c r="E23" s="198">
        <f>(D23-P23)/P23</f>
        <v>0.30250569476082007</v>
      </c>
      <c r="F23" s="199">
        <f t="shared" ref="F23:F24" si="31">D23/$D$25</f>
        <v>0.15449043553442127</v>
      </c>
      <c r="G23" s="264">
        <v>3921</v>
      </c>
      <c r="H23" s="198">
        <f>G23/P23-1</f>
        <v>0.78633257403189072</v>
      </c>
      <c r="I23" s="199">
        <f t="shared" si="4"/>
        <v>5.9460443109958599E-2</v>
      </c>
      <c r="J23" s="264">
        <v>2341</v>
      </c>
      <c r="K23" s="198">
        <f>J23/P23-1</f>
        <v>6.6514806378132008E-2</v>
      </c>
      <c r="L23" s="199">
        <f t="shared" si="5"/>
        <v>3.9746005874463065E-2</v>
      </c>
      <c r="M23" s="264">
        <v>3133</v>
      </c>
      <c r="N23" s="198">
        <f t="shared" si="6"/>
        <v>0.42733485193621878</v>
      </c>
      <c r="O23" s="199">
        <f t="shared" si="7"/>
        <v>5.3676672149122806E-2</v>
      </c>
      <c r="P23" s="264">
        <v>2195</v>
      </c>
      <c r="Q23" s="199">
        <f t="shared" si="8"/>
        <v>4.0240526518415309E-2</v>
      </c>
      <c r="X23" s="42" t="s">
        <v>55</v>
      </c>
      <c r="Y23" s="42" t="s">
        <v>56</v>
      </c>
      <c r="Z23" s="42"/>
      <c r="AA23" s="46">
        <f>AA19+AA20-AA22</f>
        <v>17768</v>
      </c>
      <c r="AB23" s="44">
        <f t="shared" si="9"/>
        <v>0.50716769870218004</v>
      </c>
      <c r="AC23" s="46">
        <f>AC19+AC20-AC22</f>
        <v>12128</v>
      </c>
      <c r="AD23" s="44">
        <f>AC23/AI23-1</f>
        <v>2.8755619645432162E-2</v>
      </c>
      <c r="AE23" s="46">
        <f>AE19+AE20-AE22</f>
        <v>12866</v>
      </c>
      <c r="AF23" s="44">
        <f>AE23/AI23-1</f>
        <v>9.1356349139027904E-2</v>
      </c>
      <c r="AG23" s="46">
        <f>AG19+AG20-AG22</f>
        <v>9660</v>
      </c>
      <c r="AH23" s="44">
        <f>AG23/AI23-1</f>
        <v>-0.18059207736025107</v>
      </c>
      <c r="AI23" s="46">
        <f>AI19+AI20-AI22</f>
        <v>11789</v>
      </c>
    </row>
    <row r="24" spans="1:47" x14ac:dyDescent="0.2">
      <c r="A24" s="369"/>
      <c r="B24" s="248" t="s">
        <v>57</v>
      </c>
      <c r="C24" s="203"/>
      <c r="D24" s="264">
        <v>6320</v>
      </c>
      <c r="E24" s="198">
        <f>(D24-P24)/P24</f>
        <v>1.2674271229404308E-3</v>
      </c>
      <c r="F24" s="199">
        <f t="shared" si="31"/>
        <v>0.34151086134226738</v>
      </c>
      <c r="G24" s="264">
        <v>6755</v>
      </c>
      <c r="H24" s="198">
        <f>G24/P24-1</f>
        <v>7.0183776932826403E-2</v>
      </c>
      <c r="I24" s="199">
        <f t="shared" si="4"/>
        <v>0.10243695312618474</v>
      </c>
      <c r="J24" s="264">
        <v>6573</v>
      </c>
      <c r="K24" s="198">
        <f>J24/P24-1</f>
        <v>4.134980988593151E-2</v>
      </c>
      <c r="L24" s="199">
        <f t="shared" si="5"/>
        <v>0.11159781999694392</v>
      </c>
      <c r="M24" s="264">
        <v>11433</v>
      </c>
      <c r="N24" s="198">
        <f t="shared" si="6"/>
        <v>0.81131178707224327</v>
      </c>
      <c r="O24" s="199">
        <f t="shared" si="7"/>
        <v>0.19587787828947367</v>
      </c>
      <c r="P24" s="264">
        <v>6312</v>
      </c>
      <c r="Q24" s="199">
        <f t="shared" si="8"/>
        <v>0.11571672135956147</v>
      </c>
      <c r="X24" s="3"/>
      <c r="Y24" s="3"/>
      <c r="Z24" s="3"/>
      <c r="AA24" s="3"/>
      <c r="AB24" s="41"/>
      <c r="AC24" s="3"/>
      <c r="AD24" s="41"/>
      <c r="AE24" s="3"/>
      <c r="AF24" s="41"/>
      <c r="AG24" s="3"/>
      <c r="AH24" s="41"/>
      <c r="AI24" s="3"/>
    </row>
    <row r="25" spans="1:47" x14ac:dyDescent="0.2">
      <c r="A25" s="369"/>
      <c r="B25" s="249" t="s">
        <v>58</v>
      </c>
      <c r="C25" s="204"/>
      <c r="D25" s="265">
        <f>SUM(D21:D24)</f>
        <v>18506</v>
      </c>
      <c r="E25" s="198">
        <f>(D25-P25)/P25</f>
        <v>0.30122345661650962</v>
      </c>
      <c r="F25" s="271">
        <f>D25/$D$26</f>
        <v>0.29607705106873161</v>
      </c>
      <c r="G25" s="264">
        <f>SUM(G21:G24)</f>
        <v>19569</v>
      </c>
      <c r="H25" s="198">
        <f>G25/P25-1</f>
        <v>0.37596681198143722</v>
      </c>
      <c r="I25" s="199">
        <f t="shared" si="4"/>
        <v>0.29675628952276967</v>
      </c>
      <c r="J25" s="264">
        <f t="shared" ref="J25:P25" si="32">SUM(J21:J24)</f>
        <v>16510</v>
      </c>
      <c r="K25" s="198">
        <f>J25/P25-1</f>
        <v>0.16087751371115178</v>
      </c>
      <c r="L25" s="199">
        <f t="shared" si="5"/>
        <v>0.28031036180580315</v>
      </c>
      <c r="M25" s="265">
        <f t="shared" si="32"/>
        <v>20820</v>
      </c>
      <c r="N25" s="198">
        <f t="shared" si="6"/>
        <v>0.46392912389256091</v>
      </c>
      <c r="O25" s="199">
        <f t="shared" si="7"/>
        <v>0.35670230263157893</v>
      </c>
      <c r="P25" s="265">
        <f t="shared" si="32"/>
        <v>14222</v>
      </c>
      <c r="Q25" s="199">
        <f t="shared" si="8"/>
        <v>0.26072927933708545</v>
      </c>
      <c r="X25" s="42" t="s">
        <v>59</v>
      </c>
      <c r="Y25" s="42" t="s">
        <v>60</v>
      </c>
      <c r="Z25" s="42"/>
      <c r="AA25" s="46">
        <f>AA18+AA23</f>
        <v>42223</v>
      </c>
      <c r="AB25" s="44">
        <f t="shared" si="9"/>
        <v>5.8273597674068922E-2</v>
      </c>
      <c r="AC25" s="46">
        <f>AC18+AC23</f>
        <v>43408</v>
      </c>
      <c r="AD25" s="44">
        <f>AC25/AI25-1</f>
        <v>8.7974334553110323E-2</v>
      </c>
      <c r="AE25" s="46">
        <f>AE18+AE23</f>
        <v>40034</v>
      </c>
      <c r="AF25" s="44">
        <f>AE25/AI25-1</f>
        <v>3.4086921650207103E-3</v>
      </c>
      <c r="AG25" s="46">
        <f>AG18+AG23</f>
        <v>35754</v>
      </c>
      <c r="AH25" s="44">
        <f>AG25/AI25-1</f>
        <v>-0.10386485538122214</v>
      </c>
      <c r="AI25" s="46">
        <f>AI18+AI23</f>
        <v>39898</v>
      </c>
    </row>
    <row r="26" spans="1:47" ht="15" customHeight="1" thickBot="1" x14ac:dyDescent="0.25">
      <c r="A26" s="369"/>
      <c r="B26" s="252" t="s">
        <v>61</v>
      </c>
      <c r="C26" s="205"/>
      <c r="D26" s="266">
        <f>D25+D20+D17</f>
        <v>62504</v>
      </c>
      <c r="E26" s="274">
        <f>(D26-P26)/P26</f>
        <v>0.14587420023099346</v>
      </c>
      <c r="F26" s="200">
        <f>SUM(F17+F20+F25)</f>
        <v>1</v>
      </c>
      <c r="G26" s="266">
        <f>G25+G20+G17</f>
        <v>65943</v>
      </c>
      <c r="H26" s="211">
        <f>G26/P26-1</f>
        <v>0.20892074724549481</v>
      </c>
      <c r="I26" s="200">
        <f t="shared" si="4"/>
        <v>1</v>
      </c>
      <c r="J26" s="266">
        <f t="shared" ref="J26:P26" si="33">J25+J20+J17</f>
        <v>58899</v>
      </c>
      <c r="K26" s="211">
        <f>J26/P26-1</f>
        <v>7.9784406108493577E-2</v>
      </c>
      <c r="L26" s="201">
        <f t="shared" si="5"/>
        <v>1</v>
      </c>
      <c r="M26" s="266">
        <f t="shared" si="33"/>
        <v>58368</v>
      </c>
      <c r="N26" s="200">
        <f t="shared" si="6"/>
        <v>7.0049681925678842E-2</v>
      </c>
      <c r="O26" s="201">
        <f t="shared" si="7"/>
        <v>1</v>
      </c>
      <c r="P26" s="266">
        <f t="shared" si="33"/>
        <v>54547</v>
      </c>
      <c r="Q26" s="201">
        <f t="shared" si="8"/>
        <v>1</v>
      </c>
    </row>
    <row r="28" spans="1:47" x14ac:dyDescent="0.2">
      <c r="AF28" s="21"/>
    </row>
    <row r="29" spans="1:47" x14ac:dyDescent="0.2">
      <c r="B29">
        <v>1000</v>
      </c>
      <c r="K29" s="16"/>
      <c r="L29" s="16"/>
    </row>
    <row r="30" spans="1:47" x14ac:dyDescent="0.2">
      <c r="K30" s="16"/>
      <c r="L30" s="16"/>
      <c r="AA30" s="11"/>
      <c r="AC30" s="11"/>
      <c r="AD30" s="22"/>
    </row>
    <row r="31" spans="1:47" x14ac:dyDescent="0.2">
      <c r="X31" s="11"/>
    </row>
    <row r="32" spans="1:47" x14ac:dyDescent="0.2">
      <c r="X32" s="11"/>
    </row>
    <row r="37" spans="3:10" x14ac:dyDescent="0.2">
      <c r="E37" t="s">
        <v>175</v>
      </c>
    </row>
    <row r="38" spans="3:10" x14ac:dyDescent="0.2">
      <c r="C38" s="19"/>
      <c r="E38" s="355" t="s">
        <v>176</v>
      </c>
      <c r="F38" s="356"/>
      <c r="G38" s="357"/>
      <c r="H38" s="358"/>
      <c r="I38" s="358"/>
      <c r="J38" s="357"/>
    </row>
    <row r="39" spans="3:10" x14ac:dyDescent="0.2">
      <c r="E39" s="363" t="s">
        <v>217</v>
      </c>
    </row>
  </sheetData>
  <mergeCells count="8">
    <mergeCell ref="A1:A26"/>
    <mergeCell ref="X3:X6"/>
    <mergeCell ref="AL3:AU3"/>
    <mergeCell ref="G1:I1"/>
    <mergeCell ref="J1:L1"/>
    <mergeCell ref="M1:O1"/>
    <mergeCell ref="P1:Q1"/>
    <mergeCell ref="D1:F1"/>
  </mergeCells>
  <pageMargins left="0.7" right="0.7" top="0.75" bottom="0.75" header="0.3" footer="0.3"/>
  <pageSetup paperSize="9" orientation="portrait" horizontalDpi="0" verticalDpi="0"/>
  <ignoredErrors>
    <ignoredError sqref="E12"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E55B2-E596-4356-8679-16CE543E7DAE}">
  <dimension ref="A1:V88"/>
  <sheetViews>
    <sheetView zoomScale="75" workbookViewId="0">
      <selection activeCell="D46" sqref="D46"/>
    </sheetView>
  </sheetViews>
  <sheetFormatPr baseColWidth="10" defaultColWidth="8.83203125" defaultRowHeight="15" x14ac:dyDescent="0.2"/>
  <cols>
    <col min="1" max="1" width="17.1640625" customWidth="1"/>
    <col min="2" max="2" width="55.5" customWidth="1"/>
    <col min="3" max="3" width="16.33203125" customWidth="1"/>
    <col min="4" max="5" width="14.33203125" customWidth="1"/>
    <col min="6" max="6" width="15.83203125" style="123" customWidth="1"/>
    <col min="7" max="7" width="13.83203125" customWidth="1"/>
    <col min="8" max="8" width="15.33203125" customWidth="1"/>
    <col min="9" max="9" width="12.83203125" customWidth="1"/>
    <col min="10" max="10" width="13.1640625" customWidth="1"/>
    <col min="11" max="11" width="12.33203125" customWidth="1"/>
    <col min="12" max="12" width="10.5" bestFit="1" customWidth="1"/>
    <col min="13" max="13" width="13" bestFit="1" customWidth="1"/>
    <col min="14" max="14" width="12" customWidth="1"/>
    <col min="15" max="15" width="10.5" bestFit="1" customWidth="1"/>
    <col min="16" max="16" width="10.5" customWidth="1"/>
    <col min="17" max="17" width="12.6640625" customWidth="1"/>
    <col min="18" max="19" width="12.33203125" customWidth="1"/>
  </cols>
  <sheetData>
    <row r="1" spans="1:22" ht="15" customHeight="1" thickBot="1" x14ac:dyDescent="0.25">
      <c r="A1" s="31"/>
      <c r="B1" s="98" t="s">
        <v>90</v>
      </c>
      <c r="C1" s="136"/>
      <c r="D1" s="136"/>
      <c r="E1" s="136"/>
      <c r="F1" s="121"/>
      <c r="G1" s="99"/>
      <c r="H1" s="99"/>
      <c r="I1" s="99"/>
      <c r="J1" s="99"/>
      <c r="K1" s="99"/>
      <c r="L1" s="100"/>
      <c r="M1" s="101"/>
      <c r="N1" s="101"/>
      <c r="O1" s="101"/>
      <c r="P1" s="101"/>
      <c r="Q1" s="101"/>
      <c r="R1" s="102"/>
      <c r="S1" s="102"/>
    </row>
    <row r="2" spans="1:22" ht="15" customHeight="1" x14ac:dyDescent="0.2">
      <c r="A2" s="31"/>
      <c r="B2" s="103"/>
      <c r="C2" s="212" t="s">
        <v>197</v>
      </c>
      <c r="D2" s="212" t="s">
        <v>135</v>
      </c>
      <c r="E2" s="212" t="s">
        <v>199</v>
      </c>
      <c r="F2" s="122" t="s">
        <v>63</v>
      </c>
      <c r="G2" s="32" t="s">
        <v>2</v>
      </c>
      <c r="H2" s="32" t="s">
        <v>3</v>
      </c>
      <c r="I2" s="32" t="s">
        <v>64</v>
      </c>
      <c r="J2" s="32" t="s">
        <v>2</v>
      </c>
      <c r="K2" s="32" t="s">
        <v>3</v>
      </c>
      <c r="L2" s="37" t="s">
        <v>132</v>
      </c>
      <c r="M2" s="32" t="s">
        <v>2</v>
      </c>
      <c r="N2" s="32" t="s">
        <v>3</v>
      </c>
      <c r="O2" s="38" t="s">
        <v>133</v>
      </c>
      <c r="P2" s="32" t="s">
        <v>2</v>
      </c>
      <c r="Q2" s="32" t="s">
        <v>3</v>
      </c>
      <c r="R2" s="39" t="s">
        <v>134</v>
      </c>
      <c r="S2" s="104" t="s">
        <v>3</v>
      </c>
    </row>
    <row r="3" spans="1:22" x14ac:dyDescent="0.2">
      <c r="A3" s="31"/>
      <c r="B3" s="105" t="s">
        <v>65</v>
      </c>
      <c r="C3" s="66"/>
      <c r="D3" s="83"/>
      <c r="E3" s="90"/>
      <c r="F3" s="66">
        <v>40152</v>
      </c>
      <c r="G3" s="83">
        <f>F3/R3-1</f>
        <v>0.3891022314478465</v>
      </c>
      <c r="H3" s="90">
        <f>F3/$F$3</f>
        <v>1</v>
      </c>
      <c r="I3" s="67">
        <v>38153</v>
      </c>
      <c r="J3" s="83">
        <f>I3/R3-1</f>
        <v>0.3199446462549731</v>
      </c>
      <c r="K3" s="90">
        <f>I3/$I$3</f>
        <v>1</v>
      </c>
      <c r="L3" s="67">
        <v>35902</v>
      </c>
      <c r="M3" s="83">
        <f>L3/R3-1</f>
        <v>0.24206884622037705</v>
      </c>
      <c r="N3" s="90">
        <f>L3/$L$3</f>
        <v>1</v>
      </c>
      <c r="O3" s="67">
        <v>34176</v>
      </c>
      <c r="P3" s="83">
        <f>O3/R3-1</f>
        <v>0.18235599377270373</v>
      </c>
      <c r="Q3" s="90">
        <f>O3/$O$3</f>
        <v>1</v>
      </c>
      <c r="R3" s="67">
        <v>28905</v>
      </c>
      <c r="S3" s="106">
        <f>R3/$R$3</f>
        <v>1</v>
      </c>
    </row>
    <row r="4" spans="1:22" x14ac:dyDescent="0.2">
      <c r="A4" s="31"/>
      <c r="B4" s="105" t="s">
        <v>66</v>
      </c>
      <c r="C4" s="66"/>
      <c r="D4" s="83"/>
      <c r="E4" s="91"/>
      <c r="F4" s="66">
        <v>-23257</v>
      </c>
      <c r="G4" s="83">
        <f t="shared" ref="G4:G28" si="0">F4/R4-1</f>
        <v>0.36308756300550926</v>
      </c>
      <c r="H4" s="91">
        <f t="shared" ref="H4:H28" si="1">F4/$F$3</f>
        <v>-0.57922394899382346</v>
      </c>
      <c r="I4" s="67">
        <v>-21885</v>
      </c>
      <c r="J4" s="83">
        <f t="shared" ref="J4:J28" si="2">I4/R4-1</f>
        <v>0.28267495018169031</v>
      </c>
      <c r="K4" s="91">
        <f t="shared" ref="K4:K28" si="3">I4/$I$3</f>
        <v>-0.57361151154561896</v>
      </c>
      <c r="L4" s="67">
        <v>-20890</v>
      </c>
      <c r="M4" s="83">
        <f t="shared" ref="M4:M28" si="4">L4/R4-1</f>
        <v>0.22435822295158836</v>
      </c>
      <c r="N4" s="91">
        <f t="shared" ref="N4:N28" si="5">L4/$L$3</f>
        <v>-0.58186173472229963</v>
      </c>
      <c r="O4" s="67">
        <v>-20300</v>
      </c>
      <c r="P4" s="83">
        <f t="shared" ref="P4:P28" si="6">O4/R4-1</f>
        <v>0.18977845504630175</v>
      </c>
      <c r="Q4" s="91">
        <f t="shared" ref="Q4:Q28" si="7">O4/$O$3</f>
        <v>-0.59398408239700373</v>
      </c>
      <c r="R4" s="67">
        <v>-17062</v>
      </c>
      <c r="S4" s="106">
        <f t="shared" ref="S4:S28" si="8">R4/$R$3</f>
        <v>-0.59027849852966618</v>
      </c>
    </row>
    <row r="5" spans="1:22" x14ac:dyDescent="0.2">
      <c r="A5" s="31"/>
      <c r="B5" s="107" t="s">
        <v>67</v>
      </c>
      <c r="C5" s="68"/>
      <c r="D5" s="84"/>
      <c r="E5" s="92"/>
      <c r="F5" s="68">
        <v>16895</v>
      </c>
      <c r="G5" s="84">
        <f t="shared" si="0"/>
        <v>0.42658110276112482</v>
      </c>
      <c r="H5" s="92">
        <f t="shared" si="1"/>
        <v>0.42077605100617654</v>
      </c>
      <c r="I5" s="69">
        <v>16268</v>
      </c>
      <c r="J5" s="84">
        <f t="shared" si="2"/>
        <v>0.37363843620704218</v>
      </c>
      <c r="K5" s="92">
        <f t="shared" si="3"/>
        <v>0.42638848845438104</v>
      </c>
      <c r="L5" s="69">
        <v>15012</v>
      </c>
      <c r="M5" s="84">
        <f t="shared" si="4"/>
        <v>0.26758422696951789</v>
      </c>
      <c r="N5" s="92">
        <f t="shared" si="5"/>
        <v>0.41813826527770043</v>
      </c>
      <c r="O5" s="69">
        <v>13876</v>
      </c>
      <c r="P5" s="84">
        <f t="shared" si="6"/>
        <v>0.17166258549354052</v>
      </c>
      <c r="Q5" s="92">
        <f t="shared" si="7"/>
        <v>0.40601591760299627</v>
      </c>
      <c r="R5" s="69">
        <v>11843</v>
      </c>
      <c r="S5" s="108">
        <f t="shared" si="8"/>
        <v>0.40972150147033387</v>
      </c>
    </row>
    <row r="6" spans="1:22" x14ac:dyDescent="0.2">
      <c r="A6" s="31"/>
      <c r="B6" s="105" t="s">
        <v>68</v>
      </c>
      <c r="C6" s="66"/>
      <c r="D6" s="83"/>
      <c r="E6" s="91"/>
      <c r="F6" s="66">
        <v>-1365</v>
      </c>
      <c r="G6" s="83">
        <f t="shared" si="0"/>
        <v>0.59649122807017552</v>
      </c>
      <c r="H6" s="91">
        <f t="shared" si="1"/>
        <v>-3.3995815899581588E-2</v>
      </c>
      <c r="I6" s="67">
        <v>-1308</v>
      </c>
      <c r="J6" s="83">
        <f t="shared" si="2"/>
        <v>0.52982456140350886</v>
      </c>
      <c r="K6" s="91">
        <f t="shared" si="3"/>
        <v>-3.4283018373391344E-2</v>
      </c>
      <c r="L6" s="67">
        <v>-1168</v>
      </c>
      <c r="M6" s="83">
        <f t="shared" si="4"/>
        <v>0.36608187134502934</v>
      </c>
      <c r="N6" s="91">
        <f t="shared" si="5"/>
        <v>-3.2533006517742741E-2</v>
      </c>
      <c r="O6" s="67">
        <v>-1040</v>
      </c>
      <c r="P6" s="83">
        <f t="shared" si="6"/>
        <v>0.21637426900584789</v>
      </c>
      <c r="Q6" s="91">
        <f t="shared" si="7"/>
        <v>-3.0430711610486893E-2</v>
      </c>
      <c r="R6" s="67">
        <v>-855</v>
      </c>
      <c r="S6" s="106">
        <f t="shared" si="8"/>
        <v>-2.9579657498702647E-2</v>
      </c>
    </row>
    <row r="7" spans="1:22" x14ac:dyDescent="0.2">
      <c r="A7" s="31"/>
      <c r="B7" s="105" t="s">
        <v>69</v>
      </c>
      <c r="C7" s="66"/>
      <c r="D7" s="83"/>
      <c r="E7" s="91"/>
      <c r="F7" s="66">
        <v>-8010</v>
      </c>
      <c r="G7" s="83">
        <f t="shared" si="0"/>
        <v>0.33477753707715374</v>
      </c>
      <c r="H7" s="91">
        <f t="shared" si="1"/>
        <v>-0.19949193066347878</v>
      </c>
      <c r="I7" s="67">
        <v>-7877</v>
      </c>
      <c r="J7" s="83">
        <f t="shared" si="2"/>
        <v>0.31261456423929346</v>
      </c>
      <c r="K7" s="91">
        <f t="shared" si="3"/>
        <v>-0.20645820774251042</v>
      </c>
      <c r="L7" s="67">
        <v>-7432</v>
      </c>
      <c r="M7" s="83">
        <f t="shared" si="4"/>
        <v>0.23846025662389603</v>
      </c>
      <c r="N7" s="91">
        <f t="shared" si="5"/>
        <v>-0.20700796613002062</v>
      </c>
      <c r="O7" s="67">
        <v>-6819</v>
      </c>
      <c r="P7" s="83">
        <f t="shared" si="6"/>
        <v>0.13631061489751706</v>
      </c>
      <c r="Q7" s="91">
        <f t="shared" si="7"/>
        <v>-0.19952598314606743</v>
      </c>
      <c r="R7" s="67">
        <v>-6001</v>
      </c>
      <c r="S7" s="106">
        <f t="shared" si="8"/>
        <v>-0.20761113994118666</v>
      </c>
    </row>
    <row r="8" spans="1:22" x14ac:dyDescent="0.2">
      <c r="A8" s="31"/>
      <c r="B8" s="107" t="s">
        <v>70</v>
      </c>
      <c r="C8" s="68"/>
      <c r="D8" s="84"/>
      <c r="E8" s="92"/>
      <c r="F8" s="68">
        <v>7520</v>
      </c>
      <c r="G8" s="84">
        <f t="shared" si="0"/>
        <v>0.50792059354321228</v>
      </c>
      <c r="H8" s="92">
        <f t="shared" si="1"/>
        <v>0.18728830444311617</v>
      </c>
      <c r="I8" s="69">
        <v>7083</v>
      </c>
      <c r="J8" s="84">
        <f t="shared" si="2"/>
        <v>0.42029276117906567</v>
      </c>
      <c r="K8" s="92">
        <f t="shared" si="3"/>
        <v>0.18564726233847928</v>
      </c>
      <c r="L8" s="69">
        <v>6412</v>
      </c>
      <c r="M8" s="84">
        <f t="shared" si="4"/>
        <v>0.28574293162221776</v>
      </c>
      <c r="N8" s="92">
        <f t="shared" si="5"/>
        <v>0.17859729262993704</v>
      </c>
      <c r="O8" s="69">
        <v>6017</v>
      </c>
      <c r="P8" s="84">
        <f t="shared" si="6"/>
        <v>0.20653699619009425</v>
      </c>
      <c r="Q8" s="92">
        <f t="shared" si="7"/>
        <v>0.17605922284644196</v>
      </c>
      <c r="R8" s="69">
        <v>4987</v>
      </c>
      <c r="S8" s="108">
        <f t="shared" si="8"/>
        <v>0.17253070403044457</v>
      </c>
    </row>
    <row r="9" spans="1:22" x14ac:dyDescent="0.2">
      <c r="A9" s="31"/>
      <c r="B9" s="105" t="s">
        <v>71</v>
      </c>
      <c r="C9" s="66"/>
      <c r="D9" s="83"/>
      <c r="E9" s="91"/>
      <c r="F9" s="66">
        <v>-77</v>
      </c>
      <c r="G9" s="83">
        <f t="shared" si="0"/>
        <v>2.6666666666666665</v>
      </c>
      <c r="H9" s="91">
        <f t="shared" si="1"/>
        <v>-1.9177126917712692E-3</v>
      </c>
      <c r="I9" s="67">
        <v>-87</v>
      </c>
      <c r="J9" s="83">
        <f t="shared" si="2"/>
        <v>3.1428571428571432</v>
      </c>
      <c r="K9" s="91">
        <f t="shared" si="3"/>
        <v>-2.2802925064870391E-3</v>
      </c>
      <c r="L9" s="67">
        <v>98</v>
      </c>
      <c r="M9" s="83">
        <f t="shared" si="4"/>
        <v>-5.666666666666667</v>
      </c>
      <c r="N9" s="91">
        <f t="shared" si="5"/>
        <v>2.7296529441256756E-3</v>
      </c>
      <c r="O9" s="67">
        <v>-433</v>
      </c>
      <c r="P9" s="83">
        <f t="shared" si="6"/>
        <v>19.61904761904762</v>
      </c>
      <c r="Q9" s="91">
        <f t="shared" si="7"/>
        <v>-1.2669709737827715E-2</v>
      </c>
      <c r="R9" s="67">
        <v>-21</v>
      </c>
      <c r="S9" s="106">
        <f t="shared" si="8"/>
        <v>-7.265179034769071E-4</v>
      </c>
    </row>
    <row r="10" spans="1:22" x14ac:dyDescent="0.2">
      <c r="A10" s="31"/>
      <c r="B10" s="105" t="s">
        <v>72</v>
      </c>
      <c r="C10" s="66"/>
      <c r="D10" s="83"/>
      <c r="E10" s="91"/>
      <c r="F10" s="66">
        <v>-287</v>
      </c>
      <c r="G10" s="83">
        <f t="shared" si="0"/>
        <v>0.27555555555555555</v>
      </c>
      <c r="H10" s="91">
        <f t="shared" si="1"/>
        <v>-7.147838214783821E-3</v>
      </c>
      <c r="I10" s="67">
        <v>-141</v>
      </c>
      <c r="J10" s="83">
        <f t="shared" si="2"/>
        <v>-0.37333333333333329</v>
      </c>
      <c r="K10" s="91">
        <f t="shared" si="3"/>
        <v>-3.6956464760307182E-3</v>
      </c>
      <c r="L10" s="67">
        <v>-147</v>
      </c>
      <c r="M10" s="83">
        <f t="shared" si="4"/>
        <v>-0.34666666666666668</v>
      </c>
      <c r="N10" s="91">
        <f t="shared" si="5"/>
        <v>-4.0944794161885132E-3</v>
      </c>
      <c r="O10" s="67">
        <v>-227</v>
      </c>
      <c r="P10" s="83">
        <f t="shared" si="6"/>
        <v>8.8888888888889461E-3</v>
      </c>
      <c r="Q10" s="91">
        <f t="shared" si="7"/>
        <v>-6.6420880149812732E-3</v>
      </c>
      <c r="R10" s="67">
        <v>-225</v>
      </c>
      <c r="S10" s="106">
        <f t="shared" si="8"/>
        <v>-7.7841203943954333E-3</v>
      </c>
    </row>
    <row r="11" spans="1:22" x14ac:dyDescent="0.2">
      <c r="A11" s="31"/>
      <c r="B11" s="107" t="s">
        <v>73</v>
      </c>
      <c r="C11" s="68"/>
      <c r="D11" s="84"/>
      <c r="E11" s="92"/>
      <c r="F11" s="68">
        <v>7156</v>
      </c>
      <c r="G11" s="84">
        <f t="shared" si="0"/>
        <v>0.50938620544188984</v>
      </c>
      <c r="H11" s="92">
        <f t="shared" si="1"/>
        <v>0.17822275353656106</v>
      </c>
      <c r="I11" s="69">
        <v>6855</v>
      </c>
      <c r="J11" s="84">
        <f t="shared" si="2"/>
        <v>0.44589748998101664</v>
      </c>
      <c r="K11" s="92">
        <f t="shared" si="3"/>
        <v>0.17967132335596153</v>
      </c>
      <c r="L11" s="69">
        <v>6363</v>
      </c>
      <c r="M11" s="84">
        <f t="shared" si="4"/>
        <v>0.34212191520776214</v>
      </c>
      <c r="N11" s="92">
        <f t="shared" si="5"/>
        <v>0.17723246615787422</v>
      </c>
      <c r="O11" s="69">
        <v>5357</v>
      </c>
      <c r="P11" s="84">
        <f t="shared" si="6"/>
        <v>0.12993039443155463</v>
      </c>
      <c r="Q11" s="92">
        <f t="shared" si="7"/>
        <v>0.15674742509363296</v>
      </c>
      <c r="R11" s="69">
        <v>4741</v>
      </c>
      <c r="S11" s="108">
        <f t="shared" si="8"/>
        <v>0.16402006573257222</v>
      </c>
      <c r="V11" s="123"/>
    </row>
    <row r="12" spans="1:22" x14ac:dyDescent="0.2">
      <c r="A12" s="31"/>
      <c r="B12" s="107" t="s">
        <v>211</v>
      </c>
      <c r="C12" s="68" t="e">
        <f>C11+'Cash Flow Statement'!B6</f>
        <v>#VALUE!</v>
      </c>
      <c r="D12" s="84" t="e">
        <f>C12/R12-1</f>
        <v>#VALUE!</v>
      </c>
      <c r="E12" s="92" t="e">
        <f>C12/C3</f>
        <v>#VALUE!</v>
      </c>
      <c r="F12" s="68">
        <f>F11+'Cash Flow Statement'!E6</f>
        <v>8027</v>
      </c>
      <c r="G12" s="84">
        <f>F12/R12-1</f>
        <v>0.47854116780254197</v>
      </c>
      <c r="H12" s="92">
        <f>F12/F3</f>
        <v>0.19991532177724647</v>
      </c>
      <c r="I12" s="69">
        <f>I11+'Cash Flow Statement'!G6</f>
        <v>7677</v>
      </c>
      <c r="J12" s="84">
        <f>I12/R12-1</f>
        <v>0.41407257321790381</v>
      </c>
      <c r="K12" s="92">
        <f>I12/I3</f>
        <v>0.20121615600345977</v>
      </c>
      <c r="L12" s="69">
        <f>L11+'Cash Flow Statement'!I6</f>
        <v>7080</v>
      </c>
      <c r="M12" s="84">
        <f>L12/R12-1</f>
        <v>0.30410757045496406</v>
      </c>
      <c r="N12" s="92">
        <f>L12/L3</f>
        <v>0.19720349841234472</v>
      </c>
      <c r="O12" s="69">
        <f>O11+'Cash Flow Statement'!K6</f>
        <v>6089</v>
      </c>
      <c r="P12" s="84">
        <f>O12/R12-1</f>
        <v>0.12156934978817469</v>
      </c>
      <c r="Q12" s="92">
        <f>O12/O3</f>
        <v>0.17816596441947566</v>
      </c>
      <c r="R12" s="69">
        <f>R11+'Cash Flow Statement'!M6</f>
        <v>5429</v>
      </c>
      <c r="S12" s="108">
        <f>R12/R3</f>
        <v>0.18782217609410137</v>
      </c>
      <c r="V12" s="123"/>
    </row>
    <row r="13" spans="1:22" x14ac:dyDescent="0.2">
      <c r="A13" s="31"/>
      <c r="B13" s="105" t="s">
        <v>74</v>
      </c>
      <c r="C13" s="66"/>
      <c r="D13" s="83"/>
      <c r="E13" s="91"/>
      <c r="F13" s="66">
        <v>-457</v>
      </c>
      <c r="G13" s="83">
        <f t="shared" si="0"/>
        <v>0.11463414634146352</v>
      </c>
      <c r="H13" s="91">
        <f t="shared" si="1"/>
        <v>-1.1381749352460649E-2</v>
      </c>
      <c r="I13" s="67">
        <v>-406</v>
      </c>
      <c r="J13" s="83">
        <f t="shared" si="2"/>
        <v>-9.7560975609756184E-3</v>
      </c>
      <c r="K13" s="91">
        <f t="shared" si="3"/>
        <v>-1.0641365030272848E-2</v>
      </c>
      <c r="L13" s="67">
        <v>-430</v>
      </c>
      <c r="M13" s="83">
        <f t="shared" si="4"/>
        <v>4.8780487804878092E-2</v>
      </c>
      <c r="N13" s="91">
        <f t="shared" si="5"/>
        <v>-1.1977048632388168E-2</v>
      </c>
      <c r="O13" s="67">
        <v>-424</v>
      </c>
      <c r="P13" s="83">
        <f t="shared" si="6"/>
        <v>3.4146341463414664E-2</v>
      </c>
      <c r="Q13" s="91">
        <f t="shared" si="7"/>
        <v>-1.2406367041198503E-2</v>
      </c>
      <c r="R13" s="67">
        <v>-410</v>
      </c>
      <c r="S13" s="106">
        <f t="shared" si="8"/>
        <v>-1.4184397163120567E-2</v>
      </c>
      <c r="V13" s="123"/>
    </row>
    <row r="14" spans="1:22" x14ac:dyDescent="0.2">
      <c r="A14" s="31"/>
      <c r="B14" s="107" t="s">
        <v>75</v>
      </c>
      <c r="C14" s="68"/>
      <c r="D14" s="84"/>
      <c r="E14" s="92"/>
      <c r="F14" s="68">
        <v>6699</v>
      </c>
      <c r="G14" s="84">
        <f t="shared" si="0"/>
        <v>0.54675594550912021</v>
      </c>
      <c r="H14" s="92">
        <f t="shared" si="1"/>
        <v>0.16684100418410042</v>
      </c>
      <c r="I14" s="69">
        <v>6449</v>
      </c>
      <c r="J14" s="84">
        <f t="shared" si="2"/>
        <v>0.48903255599168793</v>
      </c>
      <c r="K14" s="92">
        <f t="shared" si="3"/>
        <v>0.16902995832568868</v>
      </c>
      <c r="L14" s="69">
        <v>5933</v>
      </c>
      <c r="M14" s="84">
        <f t="shared" si="4"/>
        <v>0.36989148002770733</v>
      </c>
      <c r="N14" s="92">
        <f t="shared" si="5"/>
        <v>0.16525541752548606</v>
      </c>
      <c r="O14" s="69">
        <v>4933</v>
      </c>
      <c r="P14" s="84">
        <f t="shared" si="6"/>
        <v>0.13899792195797733</v>
      </c>
      <c r="Q14" s="92">
        <f t="shared" si="7"/>
        <v>0.14434105805243447</v>
      </c>
      <c r="R14" s="69">
        <v>4331</v>
      </c>
      <c r="S14" s="108">
        <f t="shared" si="8"/>
        <v>0.14983566856945166</v>
      </c>
      <c r="V14" s="123"/>
    </row>
    <row r="15" spans="1:22" x14ac:dyDescent="0.2">
      <c r="A15" s="31"/>
      <c r="B15" s="105" t="s">
        <v>76</v>
      </c>
      <c r="C15" s="66"/>
      <c r="D15" s="83"/>
      <c r="E15" s="91"/>
      <c r="F15" s="66">
        <v>152</v>
      </c>
      <c r="G15" s="83">
        <f t="shared" si="0"/>
        <v>37</v>
      </c>
      <c r="H15" s="91">
        <f t="shared" si="1"/>
        <v>3.7856146642757521E-3</v>
      </c>
      <c r="I15" s="67">
        <v>174</v>
      </c>
      <c r="J15" s="83">
        <f t="shared" si="2"/>
        <v>42.5</v>
      </c>
      <c r="K15" s="91">
        <f t="shared" si="3"/>
        <v>4.5605850129740782E-3</v>
      </c>
      <c r="L15" s="67">
        <v>79</v>
      </c>
      <c r="M15" s="83">
        <f t="shared" si="4"/>
        <v>18.75</v>
      </c>
      <c r="N15" s="91">
        <f t="shared" si="5"/>
        <v>2.2004345161829426E-3</v>
      </c>
      <c r="O15" s="67">
        <v>24</v>
      </c>
      <c r="P15" s="83">
        <f t="shared" si="6"/>
        <v>5</v>
      </c>
      <c r="Q15" s="91">
        <f t="shared" si="7"/>
        <v>7.0224719101123594E-4</v>
      </c>
      <c r="R15" s="67">
        <v>4</v>
      </c>
      <c r="S15" s="106">
        <f t="shared" si="8"/>
        <v>1.3838436256702992E-4</v>
      </c>
    </row>
    <row r="16" spans="1:22" x14ac:dyDescent="0.2">
      <c r="A16" s="31"/>
      <c r="B16" s="105" t="s">
        <v>77</v>
      </c>
      <c r="C16" s="66"/>
      <c r="D16" s="83"/>
      <c r="E16" s="91"/>
      <c r="F16" s="66">
        <v>-473</v>
      </c>
      <c r="G16" s="83">
        <f t="shared" si="0"/>
        <v>3.7777777777777777</v>
      </c>
      <c r="H16" s="91">
        <f t="shared" si="1"/>
        <v>-1.1780235106594939E-2</v>
      </c>
      <c r="I16" s="67">
        <v>-435</v>
      </c>
      <c r="J16" s="83">
        <f t="shared" si="2"/>
        <v>3.3939393939393936</v>
      </c>
      <c r="K16" s="91">
        <f t="shared" si="3"/>
        <v>-1.1401462532435196E-2</v>
      </c>
      <c r="L16" s="67">
        <v>-387</v>
      </c>
      <c r="M16" s="83">
        <f t="shared" si="4"/>
        <v>2.9090909090909092</v>
      </c>
      <c r="N16" s="91">
        <f t="shared" si="5"/>
        <v>-1.077934376914935E-2</v>
      </c>
      <c r="O16" s="67">
        <v>-130</v>
      </c>
      <c r="P16" s="83">
        <f t="shared" si="6"/>
        <v>0.31313131313131315</v>
      </c>
      <c r="Q16" s="91">
        <f t="shared" si="7"/>
        <v>-3.8038389513108616E-3</v>
      </c>
      <c r="R16" s="67">
        <v>-99</v>
      </c>
      <c r="S16" s="106">
        <f t="shared" si="8"/>
        <v>-3.4250129735339907E-3</v>
      </c>
    </row>
    <row r="17" spans="1:19" x14ac:dyDescent="0.2">
      <c r="A17" s="31"/>
      <c r="B17" s="111" t="s">
        <v>78</v>
      </c>
      <c r="C17" s="169"/>
      <c r="D17" s="133"/>
      <c r="E17" s="170"/>
      <c r="F17" s="169">
        <v>-321</v>
      </c>
      <c r="G17" s="133">
        <f t="shared" si="0"/>
        <v>2.3789473684210525</v>
      </c>
      <c r="H17" s="170">
        <f t="shared" si="1"/>
        <v>-7.9946204423191874E-3</v>
      </c>
      <c r="I17" s="76">
        <v>-261</v>
      </c>
      <c r="J17" s="133">
        <f t="shared" si="2"/>
        <v>1.7473684210526317</v>
      </c>
      <c r="K17" s="170">
        <f t="shared" si="3"/>
        <v>-6.8408775194611169E-3</v>
      </c>
      <c r="L17" s="76">
        <v>-308</v>
      </c>
      <c r="M17" s="133">
        <f t="shared" si="4"/>
        <v>2.2421052631578946</v>
      </c>
      <c r="N17" s="170">
        <f t="shared" si="5"/>
        <v>-8.5789092529664091E-3</v>
      </c>
      <c r="O17" s="76">
        <v>-106</v>
      </c>
      <c r="P17" s="133">
        <f t="shared" si="6"/>
        <v>0.11578947368421044</v>
      </c>
      <c r="Q17" s="170">
        <f t="shared" si="7"/>
        <v>-3.1015917602996257E-3</v>
      </c>
      <c r="R17" s="76">
        <v>-95</v>
      </c>
      <c r="S17" s="171">
        <f t="shared" si="8"/>
        <v>-3.2866286109669608E-3</v>
      </c>
    </row>
    <row r="18" spans="1:19" x14ac:dyDescent="0.2">
      <c r="A18" s="31"/>
      <c r="B18" s="105" t="s">
        <v>79</v>
      </c>
      <c r="C18" s="66"/>
      <c r="D18" s="83"/>
      <c r="E18" s="91"/>
      <c r="F18" s="66">
        <v>-198</v>
      </c>
      <c r="G18" s="83">
        <f t="shared" si="0"/>
        <v>1.4444444444444446</v>
      </c>
      <c r="H18" s="91">
        <f t="shared" si="1"/>
        <v>-4.9312612074118353E-3</v>
      </c>
      <c r="I18" s="67">
        <v>-148</v>
      </c>
      <c r="J18" s="83">
        <f t="shared" si="2"/>
        <v>0.82716049382716039</v>
      </c>
      <c r="K18" s="91">
        <f t="shared" si="3"/>
        <v>-3.8791182868974919E-3</v>
      </c>
      <c r="L18" s="67">
        <v>-222</v>
      </c>
      <c r="M18" s="83">
        <f t="shared" si="4"/>
        <v>1.7407407407407409</v>
      </c>
      <c r="N18" s="91">
        <f t="shared" si="5"/>
        <v>-6.1834995264887747E-3</v>
      </c>
      <c r="O18" s="67">
        <v>-109</v>
      </c>
      <c r="P18" s="83">
        <f t="shared" si="6"/>
        <v>0.34567901234567899</v>
      </c>
      <c r="Q18" s="91">
        <f t="shared" si="7"/>
        <v>-3.1893726591760299E-3</v>
      </c>
      <c r="R18" s="67">
        <v>-81</v>
      </c>
      <c r="S18" s="106">
        <f t="shared" si="8"/>
        <v>-2.8022833419823561E-3</v>
      </c>
    </row>
    <row r="19" spans="1:19" x14ac:dyDescent="0.2">
      <c r="A19" s="31"/>
      <c r="B19" s="107" t="s">
        <v>80</v>
      </c>
      <c r="C19" s="70"/>
      <c r="D19" s="85"/>
      <c r="E19" s="93"/>
      <c r="F19" s="70">
        <v>-519</v>
      </c>
      <c r="G19" s="85">
        <f t="shared" si="0"/>
        <v>1.9488636363636362</v>
      </c>
      <c r="H19" s="93">
        <f t="shared" si="1"/>
        <v>-1.2925881649731023E-2</v>
      </c>
      <c r="I19" s="71">
        <v>-409</v>
      </c>
      <c r="J19" s="85">
        <f t="shared" si="2"/>
        <v>1.3238636363636362</v>
      </c>
      <c r="K19" s="93">
        <f t="shared" si="3"/>
        <v>-1.071999580635861E-2</v>
      </c>
      <c r="L19" s="71">
        <v>-530</v>
      </c>
      <c r="M19" s="85">
        <f t="shared" si="4"/>
        <v>2.0113636363636362</v>
      </c>
      <c r="N19" s="93">
        <f t="shared" si="5"/>
        <v>-1.4762408779455184E-2</v>
      </c>
      <c r="O19" s="71">
        <v>-215</v>
      </c>
      <c r="P19" s="85">
        <f t="shared" si="6"/>
        <v>0.22159090909090917</v>
      </c>
      <c r="Q19" s="93">
        <f t="shared" si="7"/>
        <v>-6.2909644194756552E-3</v>
      </c>
      <c r="R19" s="71">
        <v>-176</v>
      </c>
      <c r="S19" s="109">
        <f t="shared" si="8"/>
        <v>-6.0889119529493165E-3</v>
      </c>
    </row>
    <row r="20" spans="1:19" x14ac:dyDescent="0.2">
      <c r="A20" s="31"/>
      <c r="B20" s="107" t="s">
        <v>81</v>
      </c>
      <c r="C20" s="72"/>
      <c r="D20" s="86"/>
      <c r="E20" s="94"/>
      <c r="F20" s="72">
        <v>6180</v>
      </c>
      <c r="G20" s="86">
        <f t="shared" si="0"/>
        <v>0.4873646209386282</v>
      </c>
      <c r="H20" s="94">
        <f t="shared" si="1"/>
        <v>0.1539151225343694</v>
      </c>
      <c r="I20" s="73">
        <v>6040</v>
      </c>
      <c r="J20" s="86">
        <f t="shared" si="2"/>
        <v>0.45367027677496985</v>
      </c>
      <c r="K20" s="94">
        <f t="shared" si="3"/>
        <v>0.15830996251933008</v>
      </c>
      <c r="L20" s="73">
        <v>5403</v>
      </c>
      <c r="M20" s="86">
        <f t="shared" si="4"/>
        <v>0.30036101083032496</v>
      </c>
      <c r="N20" s="94">
        <f t="shared" si="5"/>
        <v>0.15049300874603086</v>
      </c>
      <c r="O20" s="73">
        <v>4718</v>
      </c>
      <c r="P20" s="86">
        <f t="shared" si="6"/>
        <v>0.13549939831528279</v>
      </c>
      <c r="Q20" s="94">
        <f t="shared" si="7"/>
        <v>0.13805009363295881</v>
      </c>
      <c r="R20" s="73">
        <v>4155</v>
      </c>
      <c r="S20" s="110">
        <f t="shared" si="8"/>
        <v>0.14374675661650232</v>
      </c>
    </row>
    <row r="21" spans="1:19" x14ac:dyDescent="0.2">
      <c r="A21" s="31"/>
      <c r="B21" s="105" t="s">
        <v>82</v>
      </c>
      <c r="C21" s="66"/>
      <c r="D21" s="83"/>
      <c r="E21" s="91"/>
      <c r="F21" s="66">
        <v>-1455</v>
      </c>
      <c r="G21" s="83">
        <f t="shared" si="0"/>
        <v>0.5062111801242235</v>
      </c>
      <c r="H21" s="91">
        <f t="shared" si="1"/>
        <v>-3.6237298266586969E-2</v>
      </c>
      <c r="I21" s="67">
        <v>-1398</v>
      </c>
      <c r="J21" s="83">
        <f t="shared" si="2"/>
        <v>0.44720496894409933</v>
      </c>
      <c r="K21" s="91">
        <f t="shared" si="3"/>
        <v>-3.6641941655964141E-2</v>
      </c>
      <c r="L21" s="67">
        <v>-1285</v>
      </c>
      <c r="M21" s="83">
        <f t="shared" si="4"/>
        <v>0.33022774327122151</v>
      </c>
      <c r="N21" s="91">
        <f t="shared" si="5"/>
        <v>-3.5791877889811155E-2</v>
      </c>
      <c r="O21" s="67">
        <v>-1211</v>
      </c>
      <c r="P21" s="83">
        <f t="shared" si="6"/>
        <v>0.25362318840579712</v>
      </c>
      <c r="Q21" s="91">
        <f t="shared" si="7"/>
        <v>-3.5434222846441946E-2</v>
      </c>
      <c r="R21" s="67">
        <v>-966</v>
      </c>
      <c r="S21" s="106">
        <f t="shared" si="8"/>
        <v>-3.3419823559937729E-2</v>
      </c>
    </row>
    <row r="22" spans="1:19" x14ac:dyDescent="0.2">
      <c r="A22" s="31"/>
      <c r="B22" s="105" t="s">
        <v>83</v>
      </c>
      <c r="C22" s="66"/>
      <c r="D22" s="83"/>
      <c r="E22" s="91"/>
      <c r="F22" s="66">
        <v>14</v>
      </c>
      <c r="G22" s="83">
        <f t="shared" si="0"/>
        <v>-0.83333333333333337</v>
      </c>
      <c r="H22" s="91">
        <f t="shared" si="1"/>
        <v>3.4867503486750347E-4</v>
      </c>
      <c r="I22" s="67">
        <v>17</v>
      </c>
      <c r="J22" s="83">
        <f t="shared" si="2"/>
        <v>-0.79761904761904767</v>
      </c>
      <c r="K22" s="91">
        <f t="shared" si="3"/>
        <v>4.4557439781930648E-4</v>
      </c>
      <c r="L22" s="67">
        <v>51</v>
      </c>
      <c r="M22" s="83">
        <f t="shared" si="4"/>
        <v>-0.3928571428571429</v>
      </c>
      <c r="N22" s="91">
        <f t="shared" si="5"/>
        <v>1.4205336750041781E-3</v>
      </c>
      <c r="O22" s="67">
        <v>29</v>
      </c>
      <c r="P22" s="83">
        <f t="shared" si="6"/>
        <v>-0.65476190476190477</v>
      </c>
      <c r="Q22" s="91">
        <f t="shared" si="7"/>
        <v>8.4854868913857679E-4</v>
      </c>
      <c r="R22" s="67">
        <v>84</v>
      </c>
      <c r="S22" s="106">
        <f t="shared" si="8"/>
        <v>2.9060716139076284E-3</v>
      </c>
    </row>
    <row r="23" spans="1:19" x14ac:dyDescent="0.2">
      <c r="A23" s="31"/>
      <c r="B23" s="105" t="s">
        <v>84</v>
      </c>
      <c r="C23" s="66"/>
      <c r="D23" s="83"/>
      <c r="E23" s="91"/>
      <c r="F23" s="66">
        <v>-388</v>
      </c>
      <c r="G23" s="83">
        <f>F23/I23-1</f>
        <v>0.76363636363636367</v>
      </c>
      <c r="H23" s="91">
        <f t="shared" si="1"/>
        <v>-9.6632795377565254E-3</v>
      </c>
      <c r="I23" s="67">
        <v>-220</v>
      </c>
      <c r="J23" s="83"/>
      <c r="K23" s="91">
        <f t="shared" si="3"/>
        <v>-5.766256912955731E-3</v>
      </c>
      <c r="L23" s="67" t="s">
        <v>127</v>
      </c>
      <c r="M23" s="83"/>
      <c r="N23" s="91"/>
      <c r="O23" s="67" t="s">
        <v>127</v>
      </c>
      <c r="P23" s="83"/>
      <c r="Q23" s="91"/>
      <c r="R23" s="67" t="s">
        <v>127</v>
      </c>
      <c r="S23" s="106"/>
    </row>
    <row r="24" spans="1:19" ht="15" customHeight="1" thickBot="1" x14ac:dyDescent="0.25">
      <c r="A24" s="31"/>
      <c r="B24" s="111" t="s">
        <v>85</v>
      </c>
      <c r="C24" s="74"/>
      <c r="D24" s="87"/>
      <c r="E24" s="95"/>
      <c r="F24" s="74">
        <v>4351</v>
      </c>
      <c r="G24" s="87">
        <f t="shared" si="0"/>
        <v>0.32936144210204699</v>
      </c>
      <c r="H24" s="95">
        <f t="shared" si="1"/>
        <v>0.10836321976489341</v>
      </c>
      <c r="I24" s="75">
        <v>4439</v>
      </c>
      <c r="J24" s="87">
        <f t="shared" si="2"/>
        <v>0.35624809043690808</v>
      </c>
      <c r="K24" s="95">
        <f t="shared" si="3"/>
        <v>0.1163473383482295</v>
      </c>
      <c r="L24" s="75">
        <v>4169</v>
      </c>
      <c r="M24" s="87">
        <f t="shared" si="4"/>
        <v>0.27375496486403916</v>
      </c>
      <c r="N24" s="95">
        <f t="shared" si="5"/>
        <v>0.11612166453122388</v>
      </c>
      <c r="O24" s="75">
        <v>3536</v>
      </c>
      <c r="P24" s="87">
        <f t="shared" si="6"/>
        <v>8.0354414909868721E-2</v>
      </c>
      <c r="Q24" s="95">
        <f t="shared" si="7"/>
        <v>0.10346441947565543</v>
      </c>
      <c r="R24" s="75">
        <v>3273</v>
      </c>
      <c r="S24" s="112">
        <f t="shared" si="8"/>
        <v>0.11323300467047223</v>
      </c>
    </row>
    <row r="25" spans="1:19" ht="15" customHeight="1" thickTop="1" x14ac:dyDescent="0.2">
      <c r="A25" s="31"/>
      <c r="B25" s="105" t="s">
        <v>86</v>
      </c>
      <c r="C25" s="77"/>
      <c r="D25" s="88"/>
      <c r="E25" s="96"/>
      <c r="F25" s="77">
        <v>4163</v>
      </c>
      <c r="G25" s="88">
        <f t="shared" si="0"/>
        <v>0.29931335830212236</v>
      </c>
      <c r="H25" s="96">
        <f t="shared" si="1"/>
        <v>0.1036810121538155</v>
      </c>
      <c r="I25" s="78">
        <v>4269</v>
      </c>
      <c r="J25" s="88">
        <f t="shared" si="2"/>
        <v>0.33239700374531833</v>
      </c>
      <c r="K25" s="96">
        <f t="shared" si="3"/>
        <v>0.11189159437003643</v>
      </c>
      <c r="L25" s="78">
        <v>4003</v>
      </c>
      <c r="M25" s="88">
        <f t="shared" si="4"/>
        <v>0.24937578027465679</v>
      </c>
      <c r="N25" s="96">
        <f t="shared" si="5"/>
        <v>0.11149796668709264</v>
      </c>
      <c r="O25" s="78">
        <v>3477</v>
      </c>
      <c r="P25" s="88">
        <f t="shared" si="6"/>
        <v>8.5205992509363337E-2</v>
      </c>
      <c r="Q25" s="96">
        <f t="shared" si="7"/>
        <v>0.10173806179775281</v>
      </c>
      <c r="R25" s="78">
        <v>3204</v>
      </c>
      <c r="S25" s="113">
        <f t="shared" si="8"/>
        <v>0.11084587441619097</v>
      </c>
    </row>
    <row r="26" spans="1:19" ht="15" customHeight="1" x14ac:dyDescent="0.2">
      <c r="A26" s="31"/>
      <c r="B26" s="105" t="s">
        <v>87</v>
      </c>
      <c r="C26" s="79"/>
      <c r="D26" s="89"/>
      <c r="E26" s="97"/>
      <c r="F26" s="79">
        <v>188</v>
      </c>
      <c r="G26" s="89">
        <f t="shared" si="0"/>
        <v>1.7246376811594204</v>
      </c>
      <c r="H26" s="97">
        <f t="shared" si="1"/>
        <v>4.6822076110779043E-3</v>
      </c>
      <c r="I26" s="80">
        <v>170</v>
      </c>
      <c r="J26" s="89">
        <f t="shared" si="2"/>
        <v>1.4637681159420288</v>
      </c>
      <c r="K26" s="97">
        <f t="shared" si="3"/>
        <v>4.4557439781930646E-3</v>
      </c>
      <c r="L26" s="80">
        <v>166</v>
      </c>
      <c r="M26" s="89">
        <f t="shared" si="4"/>
        <v>1.4057971014492754</v>
      </c>
      <c r="N26" s="97">
        <f t="shared" si="5"/>
        <v>4.6236978441312462E-3</v>
      </c>
      <c r="O26" s="80">
        <v>59</v>
      </c>
      <c r="P26" s="89">
        <f t="shared" si="6"/>
        <v>-0.14492753623188404</v>
      </c>
      <c r="Q26" s="97">
        <f t="shared" si="7"/>
        <v>1.7263576779026218E-3</v>
      </c>
      <c r="R26" s="80">
        <v>69</v>
      </c>
      <c r="S26" s="114">
        <f t="shared" si="8"/>
        <v>2.3871302542812661E-3</v>
      </c>
    </row>
    <row r="27" spans="1:19" ht="15" customHeight="1" x14ac:dyDescent="0.2">
      <c r="A27" s="31"/>
      <c r="B27" s="105" t="s">
        <v>88</v>
      </c>
      <c r="C27" s="81"/>
      <c r="D27" s="83"/>
      <c r="E27" s="91"/>
      <c r="F27" s="81">
        <v>7.41</v>
      </c>
      <c r="G27" s="83">
        <f>F27/R27-1</f>
        <v>0.28645833333333348</v>
      </c>
      <c r="H27" s="91">
        <f t="shared" si="1"/>
        <v>1.8454871488344292E-4</v>
      </c>
      <c r="I27" s="82">
        <v>7.61</v>
      </c>
      <c r="J27" s="83">
        <f t="shared" si="2"/>
        <v>0.32118055555555558</v>
      </c>
      <c r="K27" s="91">
        <f t="shared" si="3"/>
        <v>1.9946006867087779E-4</v>
      </c>
      <c r="L27" s="82">
        <v>7.15</v>
      </c>
      <c r="M27" s="83">
        <f t="shared" si="4"/>
        <v>0.24131944444444464</v>
      </c>
      <c r="N27" s="91">
        <f t="shared" si="5"/>
        <v>1.9915325051529163E-4</v>
      </c>
      <c r="O27" s="82">
        <v>6.23</v>
      </c>
      <c r="P27" s="83">
        <f t="shared" si="6"/>
        <v>8.1597222222222321E-2</v>
      </c>
      <c r="Q27" s="91">
        <f t="shared" si="7"/>
        <v>1.8229166666666667E-4</v>
      </c>
      <c r="R27" s="82">
        <v>5.76</v>
      </c>
      <c r="S27" s="106">
        <f t="shared" si="8"/>
        <v>1.9927348209652308E-4</v>
      </c>
    </row>
    <row r="28" spans="1:19" ht="15" customHeight="1" thickBot="1" x14ac:dyDescent="0.25">
      <c r="A28" s="31"/>
      <c r="B28" s="115" t="s">
        <v>89</v>
      </c>
      <c r="C28" s="116"/>
      <c r="D28" s="117"/>
      <c r="E28" s="118"/>
      <c r="F28" s="116">
        <v>7.33</v>
      </c>
      <c r="G28" s="117">
        <f t="shared" si="0"/>
        <v>0.2927689594356262</v>
      </c>
      <c r="H28" s="118">
        <f t="shared" si="1"/>
        <v>1.8255628611277147E-4</v>
      </c>
      <c r="I28" s="119">
        <v>7.53</v>
      </c>
      <c r="J28" s="117">
        <f t="shared" si="2"/>
        <v>0.32804232804232814</v>
      </c>
      <c r="K28" s="118">
        <f t="shared" si="3"/>
        <v>1.9736324797525753E-4</v>
      </c>
      <c r="L28" s="119">
        <v>7.07</v>
      </c>
      <c r="M28" s="117">
        <f t="shared" si="4"/>
        <v>0.24691358024691357</v>
      </c>
      <c r="N28" s="118">
        <f t="shared" si="5"/>
        <v>1.9692496239763802E-4</v>
      </c>
      <c r="O28" s="119">
        <v>6.15</v>
      </c>
      <c r="P28" s="117">
        <f t="shared" si="6"/>
        <v>8.4656084656084651E-2</v>
      </c>
      <c r="Q28" s="118">
        <f t="shared" si="7"/>
        <v>1.7995084269662923E-4</v>
      </c>
      <c r="R28" s="119">
        <v>5.67</v>
      </c>
      <c r="S28" s="120">
        <f t="shared" si="8"/>
        <v>1.9615983393876492E-4</v>
      </c>
    </row>
    <row r="29" spans="1:19" ht="15" customHeight="1" x14ac:dyDescent="0.2"/>
    <row r="30" spans="1:19" ht="15" customHeight="1" thickBot="1" x14ac:dyDescent="0.25">
      <c r="F30" s="172"/>
    </row>
    <row r="31" spans="1:19" ht="23" customHeight="1" thickBot="1" x14ac:dyDescent="0.3">
      <c r="B31" s="379" t="s">
        <v>198</v>
      </c>
      <c r="C31" s="380"/>
      <c r="D31" s="380"/>
      <c r="E31" s="380"/>
      <c r="F31" s="380"/>
      <c r="G31" s="380"/>
      <c r="H31" s="381"/>
    </row>
    <row r="32" spans="1:19" ht="20" thickBot="1" x14ac:dyDescent="0.25">
      <c r="B32" s="230" t="s">
        <v>178</v>
      </c>
      <c r="C32" s="124" t="s">
        <v>197</v>
      </c>
      <c r="D32" s="124">
        <v>2025</v>
      </c>
      <c r="E32" s="124">
        <v>2024</v>
      </c>
      <c r="F32" s="228">
        <v>2023</v>
      </c>
      <c r="G32" s="228">
        <v>2022</v>
      </c>
      <c r="H32" s="231">
        <v>2021</v>
      </c>
    </row>
    <row r="33" spans="2:20" ht="20" thickBot="1" x14ac:dyDescent="0.25">
      <c r="B33" s="232" t="s">
        <v>179</v>
      </c>
      <c r="C33" s="125"/>
      <c r="D33" s="174">
        <f>F3</f>
        <v>40152</v>
      </c>
      <c r="E33" s="213">
        <f>I3</f>
        <v>38153</v>
      </c>
      <c r="F33" s="213">
        <f>L3</f>
        <v>35902</v>
      </c>
      <c r="G33" s="219">
        <f>O3</f>
        <v>34176</v>
      </c>
      <c r="H33" s="233">
        <f>R3</f>
        <v>28905</v>
      </c>
      <c r="I33" s="225"/>
      <c r="K33" s="225"/>
      <c r="L33" s="225"/>
      <c r="N33" s="225"/>
      <c r="O33" s="225"/>
      <c r="Q33" s="225"/>
      <c r="R33" s="225"/>
      <c r="S33" s="225"/>
      <c r="T33" s="225"/>
    </row>
    <row r="34" spans="2:20" ht="20" thickBot="1" x14ac:dyDescent="0.25">
      <c r="B34" s="234" t="s">
        <v>180</v>
      </c>
      <c r="C34" s="126"/>
      <c r="D34" s="130">
        <f>F4+F13+F9+F10</f>
        <v>-24078</v>
      </c>
      <c r="E34" s="214">
        <f>I4+I13+I9+I10</f>
        <v>-22519</v>
      </c>
      <c r="F34" s="214">
        <f>L4+L13+L9+L10</f>
        <v>-21369</v>
      </c>
      <c r="G34" s="220">
        <f>O4+O13+O9+O10</f>
        <v>-21384</v>
      </c>
      <c r="H34" s="235">
        <f>R4+R13+R9+R10</f>
        <v>-17718</v>
      </c>
      <c r="I34" s="226"/>
      <c r="K34" s="226"/>
      <c r="L34" s="226"/>
      <c r="N34" s="226"/>
      <c r="O34" s="226"/>
      <c r="Q34" s="226"/>
      <c r="R34" s="226"/>
      <c r="S34" s="226"/>
      <c r="T34" s="226"/>
    </row>
    <row r="35" spans="2:20" ht="20" thickBot="1" x14ac:dyDescent="0.25">
      <c r="B35" s="232" t="s">
        <v>181</v>
      </c>
      <c r="C35" s="125"/>
      <c r="D35" s="174">
        <f>D33+D34</f>
        <v>16074</v>
      </c>
      <c r="E35" s="213">
        <f>E33+E34</f>
        <v>15634</v>
      </c>
      <c r="F35" s="213">
        <f>F33+F34</f>
        <v>14533</v>
      </c>
      <c r="G35" s="219">
        <f>G33+G34</f>
        <v>12792</v>
      </c>
      <c r="H35" s="233">
        <f>H33+H34</f>
        <v>11187</v>
      </c>
      <c r="I35" s="225"/>
      <c r="K35" s="225"/>
      <c r="L35" s="225"/>
      <c r="N35" s="225"/>
      <c r="O35" s="225"/>
      <c r="Q35" s="225"/>
      <c r="R35" s="225"/>
      <c r="S35" s="225"/>
      <c r="T35" s="225"/>
    </row>
    <row r="36" spans="2:20" ht="19" x14ac:dyDescent="0.2">
      <c r="B36" s="236" t="str">
        <f>"- Selling and marketing costs"</f>
        <v>- Selling and marketing costs</v>
      </c>
      <c r="C36" s="127"/>
      <c r="D36" s="175">
        <f>F7</f>
        <v>-8010</v>
      </c>
      <c r="E36" s="215">
        <f>I7</f>
        <v>-7877</v>
      </c>
      <c r="F36" s="215">
        <f>L7</f>
        <v>-7432</v>
      </c>
      <c r="G36" s="221">
        <f>O7</f>
        <v>-6819</v>
      </c>
      <c r="H36" s="237">
        <f>R7</f>
        <v>-6001</v>
      </c>
      <c r="I36" s="226"/>
      <c r="K36" s="226"/>
      <c r="L36" s="226"/>
      <c r="N36" s="226"/>
      <c r="O36" s="226"/>
      <c r="Q36" s="226"/>
      <c r="R36" s="226"/>
      <c r="S36" s="226"/>
    </row>
    <row r="37" spans="2:20" ht="20" thickBot="1" x14ac:dyDescent="0.25">
      <c r="B37" s="238" t="s">
        <v>182</v>
      </c>
      <c r="C37" s="128"/>
      <c r="D37" s="176">
        <f>F6</f>
        <v>-1365</v>
      </c>
      <c r="E37" s="216">
        <f>I6</f>
        <v>-1308</v>
      </c>
      <c r="F37" s="216">
        <f>L6</f>
        <v>-1168</v>
      </c>
      <c r="G37" s="222">
        <f>O6</f>
        <v>-1040</v>
      </c>
      <c r="H37" s="239">
        <f>R6</f>
        <v>-855</v>
      </c>
      <c r="I37" s="226"/>
      <c r="J37" s="123" t="s">
        <v>175</v>
      </c>
      <c r="K37" s="226"/>
      <c r="L37" s="226"/>
      <c r="N37" s="226"/>
      <c r="O37" s="226"/>
      <c r="Q37" s="226"/>
      <c r="R37" s="226"/>
      <c r="S37" s="226"/>
      <c r="T37" s="226"/>
    </row>
    <row r="38" spans="2:20" ht="20" thickBot="1" x14ac:dyDescent="0.25">
      <c r="B38" s="232" t="s">
        <v>183</v>
      </c>
      <c r="C38" s="125"/>
      <c r="D38" s="218">
        <f>D35+D36+D37</f>
        <v>6699</v>
      </c>
      <c r="E38" s="218">
        <f>E35+E36+E37</f>
        <v>6449</v>
      </c>
      <c r="F38" s="218">
        <f>F35+F36+F37</f>
        <v>5933</v>
      </c>
      <c r="G38" s="223">
        <f>G35+G36+G37</f>
        <v>4933</v>
      </c>
      <c r="H38" s="240">
        <f>H35+H36+H37</f>
        <v>4331</v>
      </c>
      <c r="I38" s="227"/>
      <c r="J38" s="358" t="s">
        <v>177</v>
      </c>
      <c r="K38" s="359"/>
      <c r="L38" s="227"/>
      <c r="N38" s="227"/>
      <c r="O38" s="227"/>
      <c r="Q38" s="227"/>
      <c r="R38" s="227"/>
      <c r="S38" s="227"/>
      <c r="T38" s="227"/>
    </row>
    <row r="39" spans="2:20" ht="20" thickBot="1" x14ac:dyDescent="0.25">
      <c r="B39" s="241" t="str">
        <f>"- Financial expense net of Financial income"</f>
        <v>- Financial expense net of Financial income</v>
      </c>
      <c r="C39" s="129"/>
      <c r="D39" s="217">
        <f>F17+F18</f>
        <v>-519</v>
      </c>
      <c r="E39" s="217">
        <f>I17+I18</f>
        <v>-409</v>
      </c>
      <c r="F39" s="217">
        <f>L17+L18</f>
        <v>-530</v>
      </c>
      <c r="G39" s="224">
        <f>O17+O18</f>
        <v>-215</v>
      </c>
      <c r="H39" s="242">
        <f>R17+R18</f>
        <v>-176</v>
      </c>
      <c r="I39" s="226"/>
      <c r="J39" s="364" t="s">
        <v>218</v>
      </c>
      <c r="K39" s="226"/>
      <c r="L39" s="226"/>
      <c r="N39" s="226"/>
      <c r="O39" s="226"/>
      <c r="Q39" s="226"/>
      <c r="R39" s="226"/>
      <c r="S39" s="226"/>
      <c r="T39" s="226"/>
    </row>
    <row r="40" spans="2:20" ht="20" thickBot="1" x14ac:dyDescent="0.25">
      <c r="B40" s="232" t="s">
        <v>184</v>
      </c>
      <c r="C40" s="125"/>
      <c r="D40" s="218">
        <f>D38+D39</f>
        <v>6180</v>
      </c>
      <c r="E40" s="218">
        <f>E38+E39</f>
        <v>6040</v>
      </c>
      <c r="F40" s="218">
        <f>F38+F39</f>
        <v>5403</v>
      </c>
      <c r="G40" s="223">
        <f>G38+G39</f>
        <v>4718</v>
      </c>
      <c r="H40" s="240">
        <f>H38+H39</f>
        <v>4155</v>
      </c>
      <c r="I40" s="227"/>
      <c r="K40" s="227"/>
      <c r="L40" s="227"/>
      <c r="N40" s="227"/>
      <c r="O40" s="227"/>
      <c r="Q40" s="227"/>
      <c r="R40" s="227"/>
      <c r="S40" s="227"/>
      <c r="T40" s="227"/>
    </row>
    <row r="41" spans="2:20" ht="20" thickBot="1" x14ac:dyDescent="0.25">
      <c r="B41" s="234" t="s">
        <v>185</v>
      </c>
      <c r="C41" s="129"/>
      <c r="D41" s="217">
        <f>F21+F22+F23</f>
        <v>-1829</v>
      </c>
      <c r="E41" s="217">
        <f>I21+I22+I23</f>
        <v>-1601</v>
      </c>
      <c r="F41" s="229">
        <f>L21+L22</f>
        <v>-1234</v>
      </c>
      <c r="G41" s="224">
        <f>O21+O22</f>
        <v>-1182</v>
      </c>
      <c r="H41" s="242">
        <f>R21+R22</f>
        <v>-882</v>
      </c>
      <c r="I41" s="226"/>
      <c r="K41" s="226"/>
      <c r="L41" s="226"/>
      <c r="N41" s="226"/>
      <c r="O41" s="226"/>
      <c r="Q41" s="226"/>
      <c r="R41" s="226"/>
      <c r="S41" s="226"/>
      <c r="T41" s="226"/>
    </row>
    <row r="42" spans="2:20" ht="20" thickBot="1" x14ac:dyDescent="0.25">
      <c r="B42" s="243" t="s">
        <v>186</v>
      </c>
      <c r="C42" s="244"/>
      <c r="D42" s="245">
        <f>D40+D41</f>
        <v>4351</v>
      </c>
      <c r="E42" s="245">
        <f>E40+E41</f>
        <v>4439</v>
      </c>
      <c r="F42" s="245">
        <f>F40+F41</f>
        <v>4169</v>
      </c>
      <c r="G42" s="246">
        <f>G40+G41</f>
        <v>3536</v>
      </c>
      <c r="H42" s="247">
        <f>H40+H41</f>
        <v>3273</v>
      </c>
      <c r="I42" s="227"/>
      <c r="K42" s="227"/>
      <c r="L42" s="227"/>
      <c r="N42" s="227"/>
      <c r="O42" s="227"/>
      <c r="Q42" s="227"/>
      <c r="R42" s="227"/>
      <c r="S42" s="227"/>
      <c r="T42" s="227"/>
    </row>
    <row r="44" spans="2:20" x14ac:dyDescent="0.2">
      <c r="B44" t="s">
        <v>203</v>
      </c>
    </row>
    <row r="71" spans="2:6" ht="19" x14ac:dyDescent="0.25">
      <c r="B71" s="184"/>
      <c r="C71" s="184"/>
      <c r="D71" s="184"/>
      <c r="E71" s="184"/>
      <c r="F71" s="184"/>
    </row>
    <row r="72" spans="2:6" ht="18" x14ac:dyDescent="0.2">
      <c r="B72" s="183"/>
      <c r="C72" s="183"/>
      <c r="D72" s="183"/>
      <c r="E72" s="183"/>
      <c r="F72" s="183"/>
    </row>
    <row r="73" spans="2:6" ht="18" x14ac:dyDescent="0.2">
      <c r="B73" s="178"/>
      <c r="C73" s="178"/>
      <c r="D73" s="178"/>
      <c r="E73" s="178"/>
      <c r="F73" s="179"/>
    </row>
    <row r="74" spans="2:6" ht="18" x14ac:dyDescent="0.2">
      <c r="B74" s="180"/>
      <c r="C74" s="180"/>
      <c r="D74" s="180"/>
      <c r="E74" s="180"/>
      <c r="F74" s="181"/>
    </row>
    <row r="75" spans="2:6" ht="18" x14ac:dyDescent="0.2">
      <c r="B75" s="178"/>
      <c r="C75" s="178"/>
      <c r="D75" s="178"/>
      <c r="E75" s="178"/>
      <c r="F75" s="179"/>
    </row>
    <row r="76" spans="2:6" ht="18" x14ac:dyDescent="0.2">
      <c r="B76" s="180"/>
      <c r="C76" s="180"/>
      <c r="D76" s="180"/>
      <c r="E76" s="180"/>
      <c r="F76" s="181"/>
    </row>
    <row r="77" spans="2:6" ht="18" x14ac:dyDescent="0.2">
      <c r="B77" s="180"/>
      <c r="C77" s="180"/>
      <c r="D77" s="180"/>
      <c r="E77" s="180"/>
      <c r="F77" s="181"/>
    </row>
    <row r="78" spans="2:6" ht="18" x14ac:dyDescent="0.2">
      <c r="B78" s="180"/>
      <c r="C78" s="180"/>
      <c r="D78" s="180"/>
      <c r="E78" s="180"/>
      <c r="F78" s="181"/>
    </row>
    <row r="79" spans="2:6" ht="18" x14ac:dyDescent="0.2">
      <c r="B79" s="178"/>
      <c r="C79" s="178"/>
      <c r="D79" s="178"/>
      <c r="E79" s="178"/>
      <c r="F79" s="179"/>
    </row>
    <row r="80" spans="2:6" ht="18" x14ac:dyDescent="0.2">
      <c r="B80" s="180"/>
      <c r="C80" s="180"/>
      <c r="D80" s="180"/>
      <c r="E80" s="180"/>
      <c r="F80" s="181"/>
    </row>
    <row r="81" spans="2:6" ht="18" x14ac:dyDescent="0.2">
      <c r="B81" s="178"/>
      <c r="C81" s="178"/>
      <c r="D81" s="178"/>
      <c r="E81" s="178"/>
      <c r="F81" s="179"/>
    </row>
    <row r="82" spans="2:6" ht="18" x14ac:dyDescent="0.2">
      <c r="B82" s="180"/>
      <c r="C82" s="180"/>
      <c r="D82" s="180"/>
      <c r="E82" s="180"/>
      <c r="F82" s="182"/>
    </row>
    <row r="83" spans="2:6" ht="18" x14ac:dyDescent="0.2">
      <c r="B83" s="178"/>
      <c r="C83" s="178"/>
      <c r="D83" s="178"/>
      <c r="E83" s="178"/>
      <c r="F83" s="179"/>
    </row>
    <row r="84" spans="2:6" ht="18" x14ac:dyDescent="0.2">
      <c r="B84" s="180"/>
      <c r="C84" s="180"/>
      <c r="D84" s="180"/>
      <c r="E84" s="180"/>
      <c r="F84" s="181"/>
    </row>
    <row r="85" spans="2:6" ht="18" x14ac:dyDescent="0.2">
      <c r="B85" s="180"/>
      <c r="C85" s="180"/>
      <c r="D85" s="180"/>
      <c r="E85" s="180"/>
      <c r="F85" s="182"/>
    </row>
    <row r="86" spans="2:6" ht="18" x14ac:dyDescent="0.2">
      <c r="B86" s="178"/>
      <c r="C86" s="178"/>
      <c r="D86" s="178"/>
      <c r="E86" s="178"/>
      <c r="F86" s="179"/>
    </row>
    <row r="87" spans="2:6" ht="18" x14ac:dyDescent="0.2">
      <c r="B87" s="180"/>
      <c r="C87" s="180"/>
      <c r="D87" s="180"/>
      <c r="E87" s="180"/>
      <c r="F87" s="182"/>
    </row>
    <row r="88" spans="2:6" ht="18" x14ac:dyDescent="0.2">
      <c r="B88" s="178"/>
      <c r="C88" s="178"/>
      <c r="D88" s="178"/>
      <c r="E88" s="178"/>
      <c r="F88" s="179"/>
    </row>
  </sheetData>
  <mergeCells count="1">
    <mergeCell ref="B31:H3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0E916-C61C-402B-B96A-C5B9668249E1}">
  <dimension ref="A1:O71"/>
  <sheetViews>
    <sheetView zoomScale="66" workbookViewId="0">
      <selection activeCell="J78" sqref="J78"/>
    </sheetView>
  </sheetViews>
  <sheetFormatPr baseColWidth="10" defaultColWidth="8.83203125" defaultRowHeight="15" x14ac:dyDescent="0.2"/>
  <cols>
    <col min="1" max="1" width="13.33203125" customWidth="1"/>
    <col min="2" max="2" width="56.5" customWidth="1"/>
    <col min="3" max="4" width="13.5" customWidth="1"/>
    <col min="5" max="5" width="13.83203125" customWidth="1"/>
    <col min="6" max="6" width="14.5" customWidth="1"/>
    <col min="7" max="7" width="12.1640625" customWidth="1"/>
    <col min="8" max="8" width="12.6640625" customWidth="1"/>
    <col min="9" max="9" width="10.6640625" bestFit="1" customWidth="1"/>
    <col min="10" max="10" width="10.6640625" customWidth="1"/>
    <col min="11" max="11" width="10.6640625" bestFit="1" customWidth="1"/>
    <col min="12" max="12" width="10.6640625" customWidth="1"/>
    <col min="13" max="13" width="10.6640625" bestFit="1" customWidth="1"/>
  </cols>
  <sheetData>
    <row r="1" spans="1:15" ht="15" customHeight="1" x14ac:dyDescent="0.2">
      <c r="A1" s="31"/>
      <c r="B1" s="285" t="s">
        <v>62</v>
      </c>
      <c r="C1" s="284" t="s">
        <v>206</v>
      </c>
      <c r="D1" s="284" t="s">
        <v>207</v>
      </c>
      <c r="E1" s="136" t="s">
        <v>63</v>
      </c>
      <c r="F1" s="159" t="s">
        <v>135</v>
      </c>
      <c r="G1" s="136" t="s">
        <v>64</v>
      </c>
      <c r="H1" s="136" t="s">
        <v>135</v>
      </c>
      <c r="I1" s="136" t="s">
        <v>132</v>
      </c>
      <c r="J1" s="136" t="s">
        <v>135</v>
      </c>
      <c r="K1" s="136" t="s">
        <v>133</v>
      </c>
      <c r="L1" s="136" t="s">
        <v>135</v>
      </c>
      <c r="M1" s="136" t="s">
        <v>134</v>
      </c>
    </row>
    <row r="2" spans="1:15" ht="15" customHeight="1" x14ac:dyDescent="0.2">
      <c r="A2" s="31"/>
      <c r="B2" s="286" t="s">
        <v>85</v>
      </c>
      <c r="C2" s="30"/>
      <c r="D2" s="160"/>
      <c r="E2" s="30">
        <v>4351</v>
      </c>
      <c r="F2" s="160">
        <f>E2/M2-1</f>
        <v>0.32936144210204699</v>
      </c>
      <c r="G2" s="139">
        <v>4439</v>
      </c>
      <c r="H2" s="131">
        <f>G2/M2-1</f>
        <v>0.35624809043690808</v>
      </c>
      <c r="I2" s="140">
        <v>4169</v>
      </c>
      <c r="J2" s="131">
        <f>I2/M2-1</f>
        <v>0.27375496486403916</v>
      </c>
      <c r="K2" s="140">
        <v>3536</v>
      </c>
      <c r="L2" s="131">
        <f>K2/M2-1</f>
        <v>8.0354414909868721E-2</v>
      </c>
      <c r="M2" s="150">
        <v>3273</v>
      </c>
    </row>
    <row r="3" spans="1:15" ht="15" customHeight="1" x14ac:dyDescent="0.2">
      <c r="A3" s="31"/>
      <c r="B3" s="286" t="s">
        <v>83</v>
      </c>
      <c r="C3" s="26"/>
      <c r="D3" s="161"/>
      <c r="E3" s="26">
        <v>-14</v>
      </c>
      <c r="F3" s="161">
        <f t="shared" ref="F3:F45" si="0">E3/M3-1</f>
        <v>-0.83333333333333337</v>
      </c>
      <c r="G3" s="60">
        <v>-17</v>
      </c>
      <c r="H3" s="83">
        <f t="shared" ref="H3:H45" si="1">G3/M3-1</f>
        <v>-0.79761904761904767</v>
      </c>
      <c r="I3" s="59">
        <v>-51</v>
      </c>
      <c r="J3" s="83">
        <f t="shared" ref="J3:J45" si="2">I3/M3-1</f>
        <v>-0.3928571428571429</v>
      </c>
      <c r="K3" s="59">
        <v>-29</v>
      </c>
      <c r="L3" s="83">
        <f t="shared" ref="L3:L45" si="3">K3/M3-1</f>
        <v>-0.65476190476190477</v>
      </c>
      <c r="M3" s="151">
        <v>-84</v>
      </c>
    </row>
    <row r="4" spans="1:15" ht="15" customHeight="1" x14ac:dyDescent="0.2">
      <c r="A4" s="31"/>
      <c r="B4" s="286" t="s">
        <v>84</v>
      </c>
      <c r="C4" s="26"/>
      <c r="D4" s="161"/>
      <c r="E4" s="26">
        <v>388</v>
      </c>
      <c r="F4" s="161">
        <f>E4/G4-1</f>
        <v>0.76363636363636367</v>
      </c>
      <c r="G4" s="60">
        <v>220</v>
      </c>
      <c r="H4" s="83"/>
      <c r="I4" s="59"/>
      <c r="J4" s="83"/>
      <c r="K4" s="59"/>
      <c r="L4" s="83"/>
      <c r="M4" s="151"/>
      <c r="O4" s="177"/>
    </row>
    <row r="5" spans="1:15" ht="15" customHeight="1" x14ac:dyDescent="0.2">
      <c r="A5" s="31"/>
      <c r="B5" s="286" t="s">
        <v>91</v>
      </c>
      <c r="C5" s="59"/>
      <c r="D5" s="161"/>
      <c r="E5" s="59"/>
      <c r="F5" s="161"/>
      <c r="G5" s="60" t="s">
        <v>127</v>
      </c>
      <c r="H5" s="83"/>
      <c r="I5" s="59">
        <v>743</v>
      </c>
      <c r="J5" s="83">
        <f t="shared" si="2"/>
        <v>2.3415977961432466E-2</v>
      </c>
      <c r="K5" s="59">
        <v>750</v>
      </c>
      <c r="L5" s="83">
        <f t="shared" si="3"/>
        <v>3.3057851239669311E-2</v>
      </c>
      <c r="M5" s="151">
        <v>726</v>
      </c>
    </row>
    <row r="6" spans="1:15" ht="15" customHeight="1" x14ac:dyDescent="0.2">
      <c r="A6" s="31"/>
      <c r="B6" s="286" t="s">
        <v>92</v>
      </c>
      <c r="C6" s="26"/>
      <c r="D6" s="161"/>
      <c r="E6" s="26">
        <v>871</v>
      </c>
      <c r="F6" s="161">
        <f t="shared" si="0"/>
        <v>0.26598837209302317</v>
      </c>
      <c r="G6" s="60">
        <v>822</v>
      </c>
      <c r="H6" s="83">
        <f t="shared" si="1"/>
        <v>0.19476744186046502</v>
      </c>
      <c r="I6" s="59">
        <v>717</v>
      </c>
      <c r="J6" s="83">
        <f t="shared" si="2"/>
        <v>4.2151162790697638E-2</v>
      </c>
      <c r="K6" s="59">
        <v>732</v>
      </c>
      <c r="L6" s="83">
        <f t="shared" si="3"/>
        <v>6.3953488372092915E-2</v>
      </c>
      <c r="M6" s="151">
        <v>688</v>
      </c>
    </row>
    <row r="7" spans="1:15" ht="15" customHeight="1" x14ac:dyDescent="0.2">
      <c r="A7" s="31"/>
      <c r="B7" s="286" t="s">
        <v>93</v>
      </c>
      <c r="C7" s="26"/>
      <c r="D7" s="161"/>
      <c r="E7" s="26">
        <v>781</v>
      </c>
      <c r="F7" s="161">
        <f t="shared" si="0"/>
        <v>21.970588235294116</v>
      </c>
      <c r="G7" s="60">
        <v>716</v>
      </c>
      <c r="H7" s="83">
        <f t="shared" si="1"/>
        <v>20.058823529411764</v>
      </c>
      <c r="I7" s="59">
        <v>60</v>
      </c>
      <c r="J7" s="83">
        <f t="shared" si="2"/>
        <v>0.76470588235294112</v>
      </c>
      <c r="K7" s="59">
        <v>61</v>
      </c>
      <c r="L7" s="83">
        <f t="shared" si="3"/>
        <v>0.79411764705882359</v>
      </c>
      <c r="M7" s="151">
        <v>34</v>
      </c>
    </row>
    <row r="8" spans="1:15" ht="15" customHeight="1" x14ac:dyDescent="0.2">
      <c r="A8" s="31"/>
      <c r="B8" s="286" t="s">
        <v>94</v>
      </c>
      <c r="C8" s="26"/>
      <c r="D8" s="161"/>
      <c r="E8" s="26">
        <v>53</v>
      </c>
      <c r="F8" s="161">
        <f t="shared" si="0"/>
        <v>-1.9814814814814814</v>
      </c>
      <c r="G8" s="60">
        <v>31</v>
      </c>
      <c r="H8" s="83">
        <f t="shared" si="1"/>
        <v>-1.574074074074074</v>
      </c>
      <c r="I8" s="59">
        <v>87</v>
      </c>
      <c r="J8" s="83">
        <f t="shared" si="2"/>
        <v>-2.6111111111111112</v>
      </c>
      <c r="K8" s="59">
        <v>32</v>
      </c>
      <c r="L8" s="83">
        <f t="shared" si="3"/>
        <v>-1.5925925925925926</v>
      </c>
      <c r="M8" s="151">
        <v>-54</v>
      </c>
    </row>
    <row r="9" spans="1:15" ht="15" customHeight="1" x14ac:dyDescent="0.2">
      <c r="A9" s="31"/>
      <c r="B9" s="286" t="s">
        <v>95</v>
      </c>
      <c r="C9" s="26"/>
      <c r="D9" s="161"/>
      <c r="E9" s="26">
        <v>106</v>
      </c>
      <c r="F9" s="161">
        <f t="shared" si="0"/>
        <v>-1.5760869565217392</v>
      </c>
      <c r="G9" s="60">
        <v>93</v>
      </c>
      <c r="H9" s="83">
        <f t="shared" si="1"/>
        <v>-1.5054347826086958</v>
      </c>
      <c r="I9" s="59">
        <v>-252</v>
      </c>
      <c r="J9" s="83">
        <f t="shared" si="2"/>
        <v>0.36956521739130443</v>
      </c>
      <c r="K9" s="59">
        <v>70</v>
      </c>
      <c r="L9" s="83">
        <f t="shared" si="3"/>
        <v>-1.3804347826086958</v>
      </c>
      <c r="M9" s="151">
        <v>-184</v>
      </c>
    </row>
    <row r="10" spans="1:15" ht="15" customHeight="1" x14ac:dyDescent="0.2">
      <c r="A10" s="31"/>
      <c r="B10" s="286" t="s">
        <v>96</v>
      </c>
      <c r="C10" s="26"/>
      <c r="D10" s="161"/>
      <c r="E10" s="26">
        <v>-25</v>
      </c>
      <c r="F10" s="161">
        <f t="shared" si="0"/>
        <v>-0.34210526315789469</v>
      </c>
      <c r="G10" s="60">
        <v>-115</v>
      </c>
      <c r="H10" s="83">
        <f t="shared" si="1"/>
        <v>2.0263157894736841</v>
      </c>
      <c r="I10" s="59">
        <v>-164</v>
      </c>
      <c r="J10" s="83">
        <f t="shared" si="2"/>
        <v>3.3157894736842106</v>
      </c>
      <c r="K10" s="59">
        <v>139</v>
      </c>
      <c r="L10" s="83">
        <f t="shared" si="3"/>
        <v>-4.6578947368421053</v>
      </c>
      <c r="M10" s="151">
        <v>-38</v>
      </c>
    </row>
    <row r="11" spans="1:15" ht="15" customHeight="1" x14ac:dyDescent="0.2">
      <c r="A11" s="31"/>
      <c r="B11" s="286" t="s">
        <v>82</v>
      </c>
      <c r="C11" s="26"/>
      <c r="D11" s="161"/>
      <c r="E11" s="26">
        <v>1455</v>
      </c>
      <c r="F11" s="161">
        <f>E11/G11-1</f>
        <v>4.0772532188841248E-2</v>
      </c>
      <c r="G11" s="60">
        <v>1398</v>
      </c>
      <c r="H11" s="83"/>
      <c r="I11" s="59"/>
      <c r="J11" s="83"/>
      <c r="K11" s="59"/>
      <c r="L11" s="83"/>
      <c r="M11" s="151"/>
    </row>
    <row r="12" spans="1:15" ht="15" customHeight="1" x14ac:dyDescent="0.2">
      <c r="A12" s="31"/>
      <c r="B12" s="286" t="s">
        <v>97</v>
      </c>
      <c r="C12" s="26"/>
      <c r="D12" s="161"/>
      <c r="E12" s="26">
        <v>200</v>
      </c>
      <c r="F12" s="161">
        <f t="shared" si="0"/>
        <v>0.85185185185185186</v>
      </c>
      <c r="G12" s="60">
        <v>200</v>
      </c>
      <c r="H12" s="83">
        <f t="shared" si="1"/>
        <v>0.85185185185185186</v>
      </c>
      <c r="I12" s="59">
        <v>220</v>
      </c>
      <c r="J12" s="83">
        <f t="shared" si="2"/>
        <v>1.0370370370370372</v>
      </c>
      <c r="K12" s="59">
        <v>102</v>
      </c>
      <c r="L12" s="83">
        <f t="shared" si="3"/>
        <v>-5.555555555555558E-2</v>
      </c>
      <c r="M12" s="151">
        <v>108</v>
      </c>
    </row>
    <row r="13" spans="1:15" ht="15" customHeight="1" x14ac:dyDescent="0.2">
      <c r="A13" s="31"/>
      <c r="B13" s="286" t="s">
        <v>98</v>
      </c>
      <c r="C13" s="26"/>
      <c r="D13" s="161"/>
      <c r="E13" s="26">
        <v>-1418</v>
      </c>
      <c r="F13" s="161">
        <f>E13/G13-1</f>
        <v>-4.1244083840432766E-2</v>
      </c>
      <c r="G13" s="60">
        <v>-1479</v>
      </c>
      <c r="H13" s="83"/>
      <c r="I13" s="59"/>
      <c r="J13" s="83"/>
      <c r="K13" s="59"/>
      <c r="L13" s="83"/>
      <c r="M13" s="151"/>
    </row>
    <row r="14" spans="1:15" ht="15" customHeight="1" x14ac:dyDescent="0.2">
      <c r="A14" s="31"/>
      <c r="B14" s="287" t="s">
        <v>99</v>
      </c>
      <c r="C14" s="33"/>
      <c r="D14" s="162"/>
      <c r="E14" s="33">
        <v>6748</v>
      </c>
      <c r="F14" s="162">
        <f t="shared" si="0"/>
        <v>0.50995748489594983</v>
      </c>
      <c r="G14" s="141">
        <v>6308</v>
      </c>
      <c r="H14" s="132">
        <f t="shared" si="1"/>
        <v>0.41150145446408604</v>
      </c>
      <c r="I14" s="142">
        <v>5529</v>
      </c>
      <c r="J14" s="132">
        <f t="shared" si="2"/>
        <v>0.23718952785858138</v>
      </c>
      <c r="K14" s="142">
        <v>5393</v>
      </c>
      <c r="L14" s="132">
        <f t="shared" si="3"/>
        <v>0.20675766390691419</v>
      </c>
      <c r="M14" s="152">
        <v>4469</v>
      </c>
    </row>
    <row r="15" spans="1:15" ht="15" customHeight="1" x14ac:dyDescent="0.2">
      <c r="A15" s="31"/>
      <c r="B15" s="286" t="s">
        <v>100</v>
      </c>
      <c r="C15" s="26"/>
      <c r="D15" s="161"/>
      <c r="E15" s="26">
        <v>-301</v>
      </c>
      <c r="F15" s="161">
        <f t="shared" si="0"/>
        <v>-0.47833622183708835</v>
      </c>
      <c r="G15" s="60">
        <v>-199</v>
      </c>
      <c r="H15" s="83">
        <f t="shared" si="1"/>
        <v>-0.65511265164644716</v>
      </c>
      <c r="I15" s="59">
        <v>62</v>
      </c>
      <c r="J15" s="83">
        <f t="shared" si="2"/>
        <v>-1.1074523396880416</v>
      </c>
      <c r="K15" s="59">
        <v>-305</v>
      </c>
      <c r="L15" s="83">
        <f t="shared" si="3"/>
        <v>-0.47140381282495669</v>
      </c>
      <c r="M15" s="151">
        <v>-577</v>
      </c>
    </row>
    <row r="16" spans="1:15" ht="15" customHeight="1" x14ac:dyDescent="0.2">
      <c r="A16" s="31"/>
      <c r="B16" s="286" t="s">
        <v>101</v>
      </c>
      <c r="C16" s="26"/>
      <c r="D16" s="161"/>
      <c r="E16" s="26">
        <v>-366</v>
      </c>
      <c r="F16" s="161">
        <f t="shared" si="0"/>
        <v>-0.6167539267015707</v>
      </c>
      <c r="G16" s="60">
        <v>-834</v>
      </c>
      <c r="H16" s="83">
        <f t="shared" si="1"/>
        <v>-0.12670157068062826</v>
      </c>
      <c r="I16" s="59">
        <v>-382</v>
      </c>
      <c r="J16" s="83">
        <f t="shared" si="2"/>
        <v>-0.6</v>
      </c>
      <c r="K16" s="59">
        <v>-553</v>
      </c>
      <c r="L16" s="83">
        <f t="shared" si="3"/>
        <v>-0.4209424083769634</v>
      </c>
      <c r="M16" s="151">
        <v>-955</v>
      </c>
    </row>
    <row r="17" spans="1:13" ht="15" customHeight="1" x14ac:dyDescent="0.2">
      <c r="A17" s="31"/>
      <c r="B17" s="286" t="s">
        <v>102</v>
      </c>
      <c r="C17" s="26"/>
      <c r="D17" s="161"/>
      <c r="E17" s="26">
        <v>307</v>
      </c>
      <c r="F17" s="161">
        <f t="shared" si="0"/>
        <v>-0.26555023923444976</v>
      </c>
      <c r="G17" s="60">
        <v>439</v>
      </c>
      <c r="H17" s="83">
        <f t="shared" si="1"/>
        <v>5.0239234449760861E-2</v>
      </c>
      <c r="I17" s="59">
        <v>493</v>
      </c>
      <c r="J17" s="83">
        <f t="shared" si="2"/>
        <v>0.17942583732057416</v>
      </c>
      <c r="K17" s="59">
        <v>73</v>
      </c>
      <c r="L17" s="83">
        <f t="shared" si="3"/>
        <v>-0.82535885167464118</v>
      </c>
      <c r="M17" s="151">
        <v>418</v>
      </c>
    </row>
    <row r="18" spans="1:13" ht="15" customHeight="1" x14ac:dyDescent="0.2">
      <c r="A18" s="31"/>
      <c r="B18" s="286" t="s">
        <v>103</v>
      </c>
      <c r="C18" s="26"/>
      <c r="D18" s="161"/>
      <c r="E18" s="26">
        <v>-257</v>
      </c>
      <c r="F18" s="161">
        <f t="shared" si="0"/>
        <v>-1.9846743295019156</v>
      </c>
      <c r="G18" s="60">
        <v>-134</v>
      </c>
      <c r="H18" s="83">
        <f t="shared" si="1"/>
        <v>-1.5134099616858236</v>
      </c>
      <c r="I18" s="59">
        <v>205</v>
      </c>
      <c r="J18" s="83">
        <f t="shared" si="2"/>
        <v>-0.21455938697318011</v>
      </c>
      <c r="K18" s="59">
        <v>-254</v>
      </c>
      <c r="L18" s="83">
        <f t="shared" si="3"/>
        <v>-1.9731800766283525</v>
      </c>
      <c r="M18" s="151">
        <v>261</v>
      </c>
    </row>
    <row r="19" spans="1:13" ht="15" customHeight="1" x14ac:dyDescent="0.2">
      <c r="A19" s="31"/>
      <c r="B19" s="287" t="s">
        <v>104</v>
      </c>
      <c r="C19" s="27"/>
      <c r="D19" s="163"/>
      <c r="E19" s="27">
        <v>-617</v>
      </c>
      <c r="F19" s="163">
        <f t="shared" si="0"/>
        <v>-0.2766705744431418</v>
      </c>
      <c r="G19" s="63">
        <v>-728</v>
      </c>
      <c r="H19" s="133">
        <f t="shared" si="1"/>
        <v>-0.14654161781946073</v>
      </c>
      <c r="I19" s="143">
        <v>378</v>
      </c>
      <c r="J19" s="133">
        <f t="shared" si="2"/>
        <v>-1.4431418522860493</v>
      </c>
      <c r="K19" s="143">
        <v>-1039</v>
      </c>
      <c r="L19" s="133">
        <f t="shared" si="3"/>
        <v>0.21805392731535767</v>
      </c>
      <c r="M19" s="153">
        <v>-853</v>
      </c>
    </row>
    <row r="20" spans="1:13" ht="15" customHeight="1" thickBot="1" x14ac:dyDescent="0.25">
      <c r="A20" s="31"/>
      <c r="B20" s="287" t="s">
        <v>105</v>
      </c>
      <c r="C20" s="28"/>
      <c r="D20" s="164"/>
      <c r="E20" s="28">
        <v>6131</v>
      </c>
      <c r="F20" s="164">
        <f t="shared" si="0"/>
        <v>0.69551991150442483</v>
      </c>
      <c r="G20" s="62">
        <v>5580</v>
      </c>
      <c r="H20" s="87">
        <f t="shared" si="1"/>
        <v>0.54314159292035402</v>
      </c>
      <c r="I20" s="61">
        <v>5907</v>
      </c>
      <c r="J20" s="87">
        <f t="shared" si="2"/>
        <v>0.63357300884955747</v>
      </c>
      <c r="K20" s="61">
        <v>4354</v>
      </c>
      <c r="L20" s="87">
        <f t="shared" si="3"/>
        <v>0.2040929203539823</v>
      </c>
      <c r="M20" s="154">
        <v>3616</v>
      </c>
    </row>
    <row r="21" spans="1:13" ht="15" customHeight="1" thickTop="1" x14ac:dyDescent="0.2">
      <c r="A21" s="31"/>
      <c r="B21" s="286" t="s">
        <v>106</v>
      </c>
      <c r="C21" s="29"/>
      <c r="D21" s="165"/>
      <c r="E21" s="29">
        <v>-1072</v>
      </c>
      <c r="F21" s="165">
        <f t="shared" si="0"/>
        <v>0.97421731123388589</v>
      </c>
      <c r="G21" s="65">
        <v>-950</v>
      </c>
      <c r="H21" s="88">
        <f t="shared" si="1"/>
        <v>0.74953959484346222</v>
      </c>
      <c r="I21" s="64">
        <v>-914</v>
      </c>
      <c r="J21" s="88">
        <f t="shared" si="2"/>
        <v>0.6832412523020257</v>
      </c>
      <c r="K21" s="64">
        <v>-707</v>
      </c>
      <c r="L21" s="88">
        <f t="shared" si="3"/>
        <v>0.30202578268876601</v>
      </c>
      <c r="M21" s="155">
        <v>-543</v>
      </c>
    </row>
    <row r="22" spans="1:13" ht="15" customHeight="1" x14ac:dyDescent="0.2">
      <c r="A22" s="31"/>
      <c r="B22" s="286" t="s">
        <v>107</v>
      </c>
      <c r="C22" s="26"/>
      <c r="D22" s="161"/>
      <c r="E22" s="26">
        <v>-471</v>
      </c>
      <c r="F22" s="161">
        <f t="shared" si="0"/>
        <v>0.4144144144144144</v>
      </c>
      <c r="G22" s="60">
        <v>-469</v>
      </c>
      <c r="H22" s="83">
        <f t="shared" si="1"/>
        <v>0.40840840840840831</v>
      </c>
      <c r="I22" s="59">
        <v>-451</v>
      </c>
      <c r="J22" s="83">
        <f t="shared" si="2"/>
        <v>0.35435435435435436</v>
      </c>
      <c r="K22" s="59">
        <v>-386</v>
      </c>
      <c r="L22" s="83">
        <f t="shared" si="3"/>
        <v>0.15915915915915924</v>
      </c>
      <c r="M22" s="151">
        <v>-333</v>
      </c>
    </row>
    <row r="23" spans="1:13" ht="15" customHeight="1" x14ac:dyDescent="0.2">
      <c r="A23" s="31"/>
      <c r="B23" s="286" t="s">
        <v>108</v>
      </c>
      <c r="C23" s="26"/>
      <c r="D23" s="161"/>
      <c r="E23" s="26">
        <v>47</v>
      </c>
      <c r="F23" s="161">
        <f t="shared" si="0"/>
        <v>-0.20338983050847459</v>
      </c>
      <c r="G23" s="60">
        <v>55</v>
      </c>
      <c r="H23" s="83">
        <f t="shared" si="1"/>
        <v>-6.7796610169491567E-2</v>
      </c>
      <c r="I23" s="59">
        <v>52</v>
      </c>
      <c r="J23" s="83">
        <f t="shared" si="2"/>
        <v>-0.11864406779661019</v>
      </c>
      <c r="K23" s="59">
        <v>69</v>
      </c>
      <c r="L23" s="83">
        <f t="shared" si="3"/>
        <v>0.16949152542372881</v>
      </c>
      <c r="M23" s="151">
        <v>59</v>
      </c>
    </row>
    <row r="24" spans="1:13" ht="15" customHeight="1" x14ac:dyDescent="0.2">
      <c r="A24" s="31"/>
      <c r="B24" s="287" t="s">
        <v>109</v>
      </c>
      <c r="C24" s="33"/>
      <c r="D24" s="162"/>
      <c r="E24" s="33">
        <v>-1496</v>
      </c>
      <c r="F24" s="162">
        <f t="shared" si="0"/>
        <v>0.83108935128518979</v>
      </c>
      <c r="G24" s="141">
        <v>-1364</v>
      </c>
      <c r="H24" s="132">
        <f t="shared" si="1"/>
        <v>0.66952264381884952</v>
      </c>
      <c r="I24" s="142">
        <v>-1313</v>
      </c>
      <c r="J24" s="132">
        <f t="shared" si="2"/>
        <v>0.60709914320685443</v>
      </c>
      <c r="K24" s="142">
        <v>-1024</v>
      </c>
      <c r="L24" s="132">
        <f t="shared" si="3"/>
        <v>0.25336597307221531</v>
      </c>
      <c r="M24" s="152">
        <v>-817</v>
      </c>
    </row>
    <row r="25" spans="1:13" ht="15" customHeight="1" x14ac:dyDescent="0.2">
      <c r="A25" s="31"/>
      <c r="B25" s="286" t="s">
        <v>110</v>
      </c>
      <c r="C25" s="26"/>
      <c r="D25" s="161"/>
      <c r="E25" s="26">
        <v>-1158</v>
      </c>
      <c r="F25" s="161">
        <f t="shared" si="0"/>
        <v>-0.72630583786338931</v>
      </c>
      <c r="G25" s="60">
        <v>-452</v>
      </c>
      <c r="H25" s="83">
        <f t="shared" si="1"/>
        <v>-0.89316946348380999</v>
      </c>
      <c r="I25" s="59">
        <v>611</v>
      </c>
      <c r="J25" s="83">
        <f t="shared" si="2"/>
        <v>-1.1444103048924603</v>
      </c>
      <c r="K25" s="59">
        <v>-297</v>
      </c>
      <c r="L25" s="83">
        <f t="shared" si="3"/>
        <v>-0.92980382888206092</v>
      </c>
      <c r="M25" s="151">
        <v>-4231</v>
      </c>
    </row>
    <row r="26" spans="1:13" ht="15" customHeight="1" x14ac:dyDescent="0.2">
      <c r="A26" s="31"/>
      <c r="B26" s="286" t="s">
        <v>111</v>
      </c>
      <c r="C26" s="26"/>
      <c r="D26" s="161"/>
      <c r="E26" s="26">
        <v>-9</v>
      </c>
      <c r="F26" s="161">
        <f t="shared" si="0"/>
        <v>-1.5625</v>
      </c>
      <c r="G26" s="60">
        <v>-91</v>
      </c>
      <c r="H26" s="83">
        <f t="shared" si="1"/>
        <v>-6.6875</v>
      </c>
      <c r="I26" s="59">
        <v>-89</v>
      </c>
      <c r="J26" s="83">
        <f t="shared" si="2"/>
        <v>-6.5625</v>
      </c>
      <c r="K26" s="59">
        <v>40</v>
      </c>
      <c r="L26" s="83">
        <f t="shared" si="3"/>
        <v>1.5</v>
      </c>
      <c r="M26" s="151">
        <v>16</v>
      </c>
    </row>
    <row r="27" spans="1:13" ht="15" customHeight="1" x14ac:dyDescent="0.2">
      <c r="A27" s="31"/>
      <c r="B27" s="286" t="s">
        <v>112</v>
      </c>
      <c r="C27" s="26"/>
      <c r="D27" s="161"/>
      <c r="E27" s="26">
        <v>-54</v>
      </c>
      <c r="F27" s="161">
        <f t="shared" si="0"/>
        <v>-0.60294117647058831</v>
      </c>
      <c r="G27" s="60">
        <v>-80</v>
      </c>
      <c r="H27" s="83">
        <f t="shared" si="1"/>
        <v>-0.41176470588235292</v>
      </c>
      <c r="I27" s="59">
        <v>-257</v>
      </c>
      <c r="J27" s="83">
        <f t="shared" si="2"/>
        <v>0.88970588235294112</v>
      </c>
      <c r="K27" s="59">
        <v>-130</v>
      </c>
      <c r="L27" s="83">
        <f t="shared" si="3"/>
        <v>-4.4117647058823484E-2</v>
      </c>
      <c r="M27" s="151">
        <v>-136</v>
      </c>
    </row>
    <row r="28" spans="1:13" ht="15" customHeight="1" x14ac:dyDescent="0.2">
      <c r="A28" s="31"/>
      <c r="B28" s="287" t="s">
        <v>113</v>
      </c>
      <c r="C28" s="27"/>
      <c r="D28" s="163"/>
      <c r="E28" s="27">
        <v>-1221</v>
      </c>
      <c r="F28" s="163">
        <f t="shared" si="0"/>
        <v>-0.71937485635486098</v>
      </c>
      <c r="G28" s="63">
        <v>-623</v>
      </c>
      <c r="H28" s="133">
        <f t="shared" si="1"/>
        <v>-0.85681452539646052</v>
      </c>
      <c r="I28" s="143">
        <v>265</v>
      </c>
      <c r="J28" s="133">
        <f t="shared" si="2"/>
        <v>-1.0609055389565618</v>
      </c>
      <c r="K28" s="143">
        <v>-387</v>
      </c>
      <c r="L28" s="133">
        <f t="shared" si="3"/>
        <v>-0.91105492990117209</v>
      </c>
      <c r="M28" s="153">
        <v>-4351</v>
      </c>
    </row>
    <row r="29" spans="1:13" ht="15" customHeight="1" thickBot="1" x14ac:dyDescent="0.25">
      <c r="A29" s="31"/>
      <c r="B29" s="287" t="s">
        <v>114</v>
      </c>
      <c r="C29" s="28"/>
      <c r="D29" s="164"/>
      <c r="E29" s="28">
        <v>-2717</v>
      </c>
      <c r="F29" s="164">
        <f t="shared" si="0"/>
        <v>-0.47426470588235292</v>
      </c>
      <c r="G29" s="62">
        <v>-1987</v>
      </c>
      <c r="H29" s="87">
        <f t="shared" si="1"/>
        <v>-0.61551857585139325</v>
      </c>
      <c r="I29" s="61">
        <v>-1048</v>
      </c>
      <c r="J29" s="87">
        <f t="shared" si="2"/>
        <v>-0.79721362229102166</v>
      </c>
      <c r="K29" s="61">
        <v>-1411</v>
      </c>
      <c r="L29" s="87">
        <f t="shared" si="3"/>
        <v>-0.72697368421052633</v>
      </c>
      <c r="M29" s="154">
        <v>-5168</v>
      </c>
    </row>
    <row r="30" spans="1:13" ht="15" customHeight="1" thickTop="1" x14ac:dyDescent="0.2">
      <c r="A30" s="31"/>
      <c r="B30" s="286" t="s">
        <v>115</v>
      </c>
      <c r="C30" s="29"/>
      <c r="D30" s="165"/>
      <c r="E30" s="29">
        <v>4864</v>
      </c>
      <c r="F30" s="165">
        <f>E30/G30-1</f>
        <v>0.40334679746105029</v>
      </c>
      <c r="G30" s="65">
        <v>3466</v>
      </c>
      <c r="H30" s="88">
        <f>G30/I30-1</f>
        <v>-1.2254203476773973E-2</v>
      </c>
      <c r="I30" s="64">
        <v>3509</v>
      </c>
      <c r="J30" s="88">
        <f>I30/K30-1</f>
        <v>2.2133699633699635</v>
      </c>
      <c r="K30" s="64">
        <v>1092</v>
      </c>
      <c r="L30" s="88"/>
      <c r="M30" s="155" t="s">
        <v>127</v>
      </c>
    </row>
    <row r="31" spans="1:13" ht="15" customHeight="1" x14ac:dyDescent="0.2">
      <c r="A31" s="31"/>
      <c r="B31" s="286" t="s">
        <v>116</v>
      </c>
      <c r="C31" s="26"/>
      <c r="D31" s="161"/>
      <c r="E31" s="26">
        <v>-1800</v>
      </c>
      <c r="F31" s="161">
        <f t="shared" si="0"/>
        <v>2</v>
      </c>
      <c r="G31" s="60">
        <v>-1384</v>
      </c>
      <c r="H31" s="83">
        <f t="shared" si="1"/>
        <v>1.3066666666666666</v>
      </c>
      <c r="I31" s="59">
        <v>-1299</v>
      </c>
      <c r="J31" s="83">
        <f t="shared" si="2"/>
        <v>1.165</v>
      </c>
      <c r="K31" s="59">
        <v>-829</v>
      </c>
      <c r="L31" s="83">
        <f t="shared" si="3"/>
        <v>0.3816666666666666</v>
      </c>
      <c r="M31" s="151">
        <v>-600</v>
      </c>
    </row>
    <row r="32" spans="1:13" ht="15" customHeight="1" x14ac:dyDescent="0.2">
      <c r="A32" s="31"/>
      <c r="B32" s="286" t="s">
        <v>117</v>
      </c>
      <c r="C32" s="26"/>
      <c r="D32" s="161"/>
      <c r="E32" s="26">
        <v>-341</v>
      </c>
      <c r="F32" s="161">
        <f t="shared" si="0"/>
        <v>0.3015267175572518</v>
      </c>
      <c r="G32" s="60">
        <v>-322</v>
      </c>
      <c r="H32" s="83">
        <f t="shared" si="1"/>
        <v>0.2290076335877862</v>
      </c>
      <c r="I32" s="59">
        <v>-703</v>
      </c>
      <c r="J32" s="83">
        <f t="shared" si="2"/>
        <v>1.6832061068702289</v>
      </c>
      <c r="K32" s="59">
        <v>-219</v>
      </c>
      <c r="L32" s="83">
        <f t="shared" si="3"/>
        <v>-0.16412213740458015</v>
      </c>
      <c r="M32" s="151">
        <v>-262</v>
      </c>
    </row>
    <row r="33" spans="1:13" ht="15" customHeight="1" x14ac:dyDescent="0.2">
      <c r="A33" s="31"/>
      <c r="B33" s="286" t="s">
        <v>118</v>
      </c>
      <c r="C33" s="26"/>
      <c r="D33" s="161"/>
      <c r="E33" s="26">
        <v>-510</v>
      </c>
      <c r="F33" s="161">
        <f t="shared" si="0"/>
        <v>0.14864864864864868</v>
      </c>
      <c r="G33" s="60">
        <v>-1338</v>
      </c>
      <c r="H33" s="83">
        <f t="shared" si="1"/>
        <v>2.0135135135135136</v>
      </c>
      <c r="I33" s="59">
        <v>939</v>
      </c>
      <c r="J33" s="83">
        <f t="shared" si="2"/>
        <v>-3.1148648648648649</v>
      </c>
      <c r="K33" s="59">
        <v>143</v>
      </c>
      <c r="L33" s="83">
        <f t="shared" si="3"/>
        <v>-1.322072072072072</v>
      </c>
      <c r="M33" s="151">
        <v>-444</v>
      </c>
    </row>
    <row r="34" spans="1:13" ht="15" customHeight="1" x14ac:dyDescent="0.2">
      <c r="A34" s="31"/>
      <c r="B34" s="286" t="s">
        <v>119</v>
      </c>
      <c r="C34" s="26"/>
      <c r="D34" s="161"/>
      <c r="E34" s="26">
        <v>109</v>
      </c>
      <c r="F34" s="161">
        <f>E34/G34-1</f>
        <v>-2.6515151515151514</v>
      </c>
      <c r="G34" s="60">
        <v>-66</v>
      </c>
      <c r="H34" s="83"/>
      <c r="I34" s="59" t="s">
        <v>127</v>
      </c>
      <c r="J34" s="83"/>
      <c r="K34" s="59" t="s">
        <v>127</v>
      </c>
      <c r="L34" s="83"/>
      <c r="M34" s="151" t="s">
        <v>127</v>
      </c>
    </row>
    <row r="35" spans="1:13" ht="15" customHeight="1" x14ac:dyDescent="0.2">
      <c r="A35" s="31"/>
      <c r="B35" s="286" t="s">
        <v>120</v>
      </c>
      <c r="C35" s="26"/>
      <c r="D35" s="161"/>
      <c r="E35" s="26">
        <v>271</v>
      </c>
      <c r="F35" s="161">
        <f t="shared" si="0"/>
        <v>0.25462962962962954</v>
      </c>
      <c r="G35" s="60">
        <v>252</v>
      </c>
      <c r="H35" s="83">
        <f t="shared" si="1"/>
        <v>0.16666666666666674</v>
      </c>
      <c r="I35" s="59">
        <v>284</v>
      </c>
      <c r="J35" s="83">
        <f t="shared" si="2"/>
        <v>0.31481481481481488</v>
      </c>
      <c r="K35" s="59">
        <v>208</v>
      </c>
      <c r="L35" s="83">
        <f t="shared" si="3"/>
        <v>-3.703703703703709E-2</v>
      </c>
      <c r="M35" s="151">
        <v>216</v>
      </c>
    </row>
    <row r="36" spans="1:13" ht="15" customHeight="1" x14ac:dyDescent="0.2">
      <c r="A36" s="31"/>
      <c r="B36" s="286" t="s">
        <v>121</v>
      </c>
      <c r="C36" s="26"/>
      <c r="D36" s="161"/>
      <c r="E36" s="26">
        <v>-5535</v>
      </c>
      <c r="F36" s="161">
        <f t="shared" si="0"/>
        <v>12.241626794258373</v>
      </c>
      <c r="G36" s="60">
        <v>-183</v>
      </c>
      <c r="H36" s="83">
        <f t="shared" si="1"/>
        <v>-0.56220095693779903</v>
      </c>
      <c r="I36" s="59">
        <v>-4702</v>
      </c>
      <c r="J36" s="83">
        <f t="shared" si="2"/>
        <v>10.248803827751196</v>
      </c>
      <c r="K36" s="59">
        <v>-73</v>
      </c>
      <c r="L36" s="83">
        <f t="shared" si="3"/>
        <v>-0.82535885167464118</v>
      </c>
      <c r="M36" s="151">
        <v>-418</v>
      </c>
    </row>
    <row r="37" spans="1:13" ht="15" customHeight="1" x14ac:dyDescent="0.2">
      <c r="A37" s="31"/>
      <c r="B37" s="286" t="s">
        <v>122</v>
      </c>
      <c r="C37" s="26"/>
      <c r="D37" s="161"/>
      <c r="E37" s="26">
        <v>-2191</v>
      </c>
      <c r="F37" s="161">
        <f t="shared" si="0"/>
        <v>0.51416724257083612</v>
      </c>
      <c r="G37" s="60">
        <v>-1963</v>
      </c>
      <c r="H37" s="83">
        <f t="shared" si="1"/>
        <v>0.35659986178299929</v>
      </c>
      <c r="I37" s="59">
        <v>-1767</v>
      </c>
      <c r="J37" s="83">
        <f t="shared" si="2"/>
        <v>0.22114720110573605</v>
      </c>
      <c r="K37" s="59">
        <v>-1618</v>
      </c>
      <c r="L37" s="83">
        <f t="shared" si="3"/>
        <v>0.11817553559087757</v>
      </c>
      <c r="M37" s="151">
        <v>-1447</v>
      </c>
    </row>
    <row r="38" spans="1:13" ht="15" customHeight="1" x14ac:dyDescent="0.2">
      <c r="A38" s="31"/>
      <c r="B38" s="286" t="s">
        <v>123</v>
      </c>
      <c r="C38" s="26"/>
      <c r="D38" s="161"/>
      <c r="E38" s="26">
        <v>-96</v>
      </c>
      <c r="F38" s="161">
        <f t="shared" si="0"/>
        <v>-0.30434782608695654</v>
      </c>
      <c r="G38" s="60">
        <v>-86</v>
      </c>
      <c r="H38" s="83">
        <f t="shared" si="1"/>
        <v>-0.37681159420289856</v>
      </c>
      <c r="I38" s="59">
        <v>-84</v>
      </c>
      <c r="J38" s="83">
        <f t="shared" si="2"/>
        <v>-0.39130434782608692</v>
      </c>
      <c r="K38" s="59">
        <v>-157</v>
      </c>
      <c r="L38" s="83">
        <f t="shared" si="3"/>
        <v>0.1376811594202898</v>
      </c>
      <c r="M38" s="151">
        <v>-138</v>
      </c>
    </row>
    <row r="39" spans="1:13" ht="15" customHeight="1" thickBot="1" x14ac:dyDescent="0.25">
      <c r="A39" s="31"/>
      <c r="B39" s="287" t="s">
        <v>124</v>
      </c>
      <c r="C39" s="28"/>
      <c r="D39" s="164"/>
      <c r="E39" s="28">
        <v>-5229</v>
      </c>
      <c r="F39" s="164">
        <f t="shared" si="0"/>
        <v>0.69059165858389915</v>
      </c>
      <c r="G39" s="62">
        <v>-1624</v>
      </c>
      <c r="H39" s="87">
        <f t="shared" si="1"/>
        <v>-0.47494342062722272</v>
      </c>
      <c r="I39" s="61">
        <v>-3823</v>
      </c>
      <c r="J39" s="87">
        <f t="shared" si="2"/>
        <v>0.23601681215648229</v>
      </c>
      <c r="K39" s="61">
        <v>-1453</v>
      </c>
      <c r="L39" s="87">
        <f t="shared" si="3"/>
        <v>-0.53022955059812482</v>
      </c>
      <c r="M39" s="154">
        <v>-3093</v>
      </c>
    </row>
    <row r="40" spans="1:13" ht="15" customHeight="1" thickTop="1" x14ac:dyDescent="0.2">
      <c r="A40" s="31"/>
      <c r="B40" s="287" t="s">
        <v>125</v>
      </c>
      <c r="C40" s="34"/>
      <c r="D40" s="166"/>
      <c r="E40" s="34">
        <v>-410</v>
      </c>
      <c r="F40" s="166">
        <f t="shared" si="0"/>
        <v>-2.1849710982658959</v>
      </c>
      <c r="G40" s="144">
        <v>189</v>
      </c>
      <c r="H40" s="134">
        <f t="shared" si="1"/>
        <v>-0.45375722543352603</v>
      </c>
      <c r="I40" s="145">
        <v>-240</v>
      </c>
      <c r="J40" s="134">
        <f t="shared" si="2"/>
        <v>-1.6936416184971099</v>
      </c>
      <c r="K40" s="145">
        <v>-70</v>
      </c>
      <c r="L40" s="134">
        <f t="shared" si="3"/>
        <v>-1.2023121387283238</v>
      </c>
      <c r="M40" s="156">
        <v>346</v>
      </c>
    </row>
    <row r="41" spans="1:13" ht="15" customHeight="1" x14ac:dyDescent="0.2">
      <c r="A41" s="31"/>
      <c r="B41" s="287" t="s">
        <v>126</v>
      </c>
      <c r="C41" s="27"/>
      <c r="D41" s="163"/>
      <c r="E41" s="27" t="s">
        <v>127</v>
      </c>
      <c r="F41" s="163"/>
      <c r="G41" s="63" t="s">
        <v>127</v>
      </c>
      <c r="H41" s="133"/>
      <c r="I41" s="143">
        <v>-4</v>
      </c>
      <c r="J41" s="133">
        <f>I41/K41-1</f>
        <v>-0.8</v>
      </c>
      <c r="K41" s="143">
        <v>-20</v>
      </c>
      <c r="L41" s="133"/>
      <c r="M41" s="153" t="s">
        <v>127</v>
      </c>
    </row>
    <row r="42" spans="1:13" ht="15" customHeight="1" thickBot="1" x14ac:dyDescent="0.25">
      <c r="A42" s="31"/>
      <c r="B42" s="287" t="s">
        <v>128</v>
      </c>
      <c r="C42" s="27"/>
      <c r="D42" s="163"/>
      <c r="E42" s="27">
        <v>-2225</v>
      </c>
      <c r="F42" s="163">
        <f t="shared" si="0"/>
        <v>-0.48243777622702955</v>
      </c>
      <c r="G42" s="63">
        <v>2158</v>
      </c>
      <c r="H42" s="133">
        <f t="shared" si="1"/>
        <v>-1.5019772040009305</v>
      </c>
      <c r="I42" s="143">
        <v>792</v>
      </c>
      <c r="J42" s="133">
        <f t="shared" si="2"/>
        <v>-1.1842288904396372</v>
      </c>
      <c r="K42" s="143">
        <v>1400</v>
      </c>
      <c r="L42" s="133">
        <f t="shared" si="3"/>
        <v>-1.3256571295650152</v>
      </c>
      <c r="M42" s="153">
        <v>-4299</v>
      </c>
    </row>
    <row r="43" spans="1:13" ht="15" customHeight="1" thickTop="1" x14ac:dyDescent="0.2">
      <c r="A43" s="31"/>
      <c r="B43" s="287" t="s">
        <v>129</v>
      </c>
      <c r="C43" s="35"/>
      <c r="D43" s="167"/>
      <c r="E43" s="35">
        <v>6812</v>
      </c>
      <c r="F43" s="167">
        <f t="shared" si="0"/>
        <v>7.3942620526470382E-3</v>
      </c>
      <c r="G43" s="146">
        <v>4654</v>
      </c>
      <c r="H43" s="135">
        <f t="shared" si="1"/>
        <v>-0.31174208813960369</v>
      </c>
      <c r="I43" s="147">
        <v>3863</v>
      </c>
      <c r="J43" s="135">
        <f t="shared" si="2"/>
        <v>-0.42871931381248152</v>
      </c>
      <c r="K43" s="147">
        <v>2463</v>
      </c>
      <c r="L43" s="135">
        <f t="shared" si="3"/>
        <v>-0.63575865128660158</v>
      </c>
      <c r="M43" s="157">
        <v>6762</v>
      </c>
    </row>
    <row r="44" spans="1:13" ht="15" customHeight="1" x14ac:dyDescent="0.2">
      <c r="A44" s="31"/>
      <c r="B44" s="287" t="s">
        <v>130</v>
      </c>
      <c r="C44" s="27"/>
      <c r="D44" s="163"/>
      <c r="E44" s="27">
        <v>-2225</v>
      </c>
      <c r="F44" s="163">
        <f t="shared" si="0"/>
        <v>-0.48243777622702955</v>
      </c>
      <c r="G44" s="63">
        <v>2158</v>
      </c>
      <c r="H44" s="133">
        <f t="shared" si="1"/>
        <v>-1.5019772040009305</v>
      </c>
      <c r="I44" s="143">
        <v>792</v>
      </c>
      <c r="J44" s="133">
        <f t="shared" si="2"/>
        <v>-1.1842288904396372</v>
      </c>
      <c r="K44" s="143">
        <v>1400</v>
      </c>
      <c r="L44" s="133">
        <f t="shared" si="3"/>
        <v>-1.3256571295650152</v>
      </c>
      <c r="M44" s="153">
        <v>-4299</v>
      </c>
    </row>
    <row r="45" spans="1:13" ht="15" customHeight="1" thickBot="1" x14ac:dyDescent="0.25">
      <c r="A45" s="31"/>
      <c r="B45" s="288" t="s">
        <v>131</v>
      </c>
      <c r="C45" s="137"/>
      <c r="D45" s="168"/>
      <c r="E45" s="137">
        <v>4587</v>
      </c>
      <c r="F45" s="168">
        <f t="shared" si="0"/>
        <v>0.86236297198538359</v>
      </c>
      <c r="G45" s="148">
        <v>6812</v>
      </c>
      <c r="H45" s="138">
        <f t="shared" si="1"/>
        <v>1.7657328461226145</v>
      </c>
      <c r="I45" s="149">
        <v>4654</v>
      </c>
      <c r="J45" s="138">
        <f t="shared" si="2"/>
        <v>0.8895655704425498</v>
      </c>
      <c r="K45" s="149">
        <v>3863</v>
      </c>
      <c r="L45" s="138">
        <f t="shared" si="3"/>
        <v>0.56841250507511165</v>
      </c>
      <c r="M45" s="158">
        <v>2463</v>
      </c>
    </row>
    <row r="46" spans="1:13" ht="15" customHeight="1" x14ac:dyDescent="0.2"/>
    <row r="47" spans="1:13" x14ac:dyDescent="0.2">
      <c r="F47" s="177"/>
    </row>
    <row r="50" spans="2:13" x14ac:dyDescent="0.2">
      <c r="B50" t="s">
        <v>200</v>
      </c>
    </row>
    <row r="51" spans="2:13" ht="16" thickBot="1" x14ac:dyDescent="0.25"/>
    <row r="52" spans="2:13" x14ac:dyDescent="0.2">
      <c r="B52" s="98" t="s">
        <v>151</v>
      </c>
      <c r="C52" s="136" t="s">
        <v>208</v>
      </c>
      <c r="D52" s="136" t="s">
        <v>135</v>
      </c>
      <c r="E52" s="136" t="s">
        <v>191</v>
      </c>
      <c r="F52" s="136" t="s">
        <v>135</v>
      </c>
      <c r="G52" s="136" t="s">
        <v>192</v>
      </c>
      <c r="H52" s="136" t="s">
        <v>135</v>
      </c>
      <c r="I52" s="136" t="s">
        <v>193</v>
      </c>
      <c r="J52" s="136" t="s">
        <v>135</v>
      </c>
      <c r="K52" s="136" t="s">
        <v>194</v>
      </c>
      <c r="L52" s="136" t="s">
        <v>135</v>
      </c>
      <c r="M52" s="195" t="s">
        <v>195</v>
      </c>
    </row>
    <row r="53" spans="2:13" ht="16" x14ac:dyDescent="0.2">
      <c r="B53" s="185" t="s">
        <v>85</v>
      </c>
      <c r="C53" s="190"/>
      <c r="D53" s="196"/>
      <c r="E53" s="190">
        <f>E2</f>
        <v>4351</v>
      </c>
      <c r="F53" s="196">
        <f>E53/M53-1</f>
        <v>0.32936144210204699</v>
      </c>
      <c r="G53" s="190">
        <f t="shared" ref="G53:M53" si="4">G2</f>
        <v>4439</v>
      </c>
      <c r="H53" s="196">
        <f>G53/M53-1</f>
        <v>0.35624809043690808</v>
      </c>
      <c r="I53" s="190">
        <f>I2</f>
        <v>4169</v>
      </c>
      <c r="J53" s="196">
        <f>I53/M53-1</f>
        <v>0.27375496486403916</v>
      </c>
      <c r="K53" s="173">
        <f t="shared" si="4"/>
        <v>3536</v>
      </c>
      <c r="L53" s="196">
        <f>K53/M53-1</f>
        <v>8.0354414909868721E-2</v>
      </c>
      <c r="M53" s="186">
        <f t="shared" si="4"/>
        <v>3273</v>
      </c>
    </row>
    <row r="54" spans="2:13" ht="16" x14ac:dyDescent="0.2">
      <c r="B54" s="193" t="s">
        <v>189</v>
      </c>
      <c r="C54" s="191"/>
      <c r="D54" s="196"/>
      <c r="E54" s="191">
        <f>E3+E4+E6+E7+E8+E9+E10+E11+E12+E13</f>
        <v>2397</v>
      </c>
      <c r="F54" s="196">
        <f t="shared" ref="F54:F59" si="5">E54/M54-1</f>
        <v>1.0041806020066888</v>
      </c>
      <c r="G54" s="191">
        <f t="shared" ref="G54" si="6">G3+G4+G6+G7+G8+G9+G10+G11+G12+G13</f>
        <v>1869</v>
      </c>
      <c r="H54" s="196">
        <f t="shared" ref="H54:H59" si="7">G54/M54-1</f>
        <v>0.56270903010033435</v>
      </c>
      <c r="I54" s="191">
        <f>I3+I4+I6+I7+I8+I9+I10+I11+I12+I13+I5</f>
        <v>1360</v>
      </c>
      <c r="J54" s="196">
        <f t="shared" ref="J54:J59" si="8">I54/M54-1</f>
        <v>0.1371237458193979</v>
      </c>
      <c r="K54" s="177">
        <f>K3+K4+K6+K7+K8+K9+K10+K11+K12+K13+K5</f>
        <v>1857</v>
      </c>
      <c r="L54" s="196">
        <f t="shared" ref="L54:L59" si="9">K54/M54-1</f>
        <v>0.55267558528428085</v>
      </c>
      <c r="M54" s="187">
        <f>M3+M4+M6+M7+M8+M9+M10+M11+M12+M13+M5</f>
        <v>1196</v>
      </c>
    </row>
    <row r="55" spans="2:13" ht="16" x14ac:dyDescent="0.2">
      <c r="B55" s="193" t="s">
        <v>152</v>
      </c>
      <c r="C55" s="190"/>
      <c r="D55" s="196"/>
      <c r="E55" s="190">
        <f>E15</f>
        <v>-301</v>
      </c>
      <c r="F55" s="196">
        <f t="shared" si="5"/>
        <v>-0.47833622183708835</v>
      </c>
      <c r="G55" s="190">
        <f t="shared" ref="G55:M55" si="10">G15</f>
        <v>-199</v>
      </c>
      <c r="H55" s="196">
        <f t="shared" si="7"/>
        <v>-0.65511265164644716</v>
      </c>
      <c r="I55" s="190">
        <f>I15</f>
        <v>62</v>
      </c>
      <c r="J55" s="196">
        <f t="shared" si="8"/>
        <v>-1.1074523396880416</v>
      </c>
      <c r="K55" s="173">
        <f t="shared" si="10"/>
        <v>-305</v>
      </c>
      <c r="L55" s="196">
        <f t="shared" si="9"/>
        <v>-0.47140381282495669</v>
      </c>
      <c r="M55" s="186">
        <f t="shared" si="10"/>
        <v>-577</v>
      </c>
    </row>
    <row r="56" spans="2:13" ht="16" x14ac:dyDescent="0.2">
      <c r="B56" s="193" t="s">
        <v>153</v>
      </c>
      <c r="C56" s="190"/>
      <c r="D56" s="196"/>
      <c r="E56" s="190">
        <f>E16</f>
        <v>-366</v>
      </c>
      <c r="F56" s="196">
        <f t="shared" si="5"/>
        <v>-0.6167539267015707</v>
      </c>
      <c r="G56" s="190">
        <f t="shared" ref="G56:M56" si="11">G16</f>
        <v>-834</v>
      </c>
      <c r="H56" s="196">
        <f t="shared" si="7"/>
        <v>-0.12670157068062826</v>
      </c>
      <c r="I56" s="190">
        <f>I16</f>
        <v>-382</v>
      </c>
      <c r="J56" s="196">
        <f t="shared" si="8"/>
        <v>-0.6</v>
      </c>
      <c r="K56" s="173">
        <f t="shared" si="11"/>
        <v>-553</v>
      </c>
      <c r="L56" s="196">
        <f t="shared" si="9"/>
        <v>-0.4209424083769634</v>
      </c>
      <c r="M56" s="186">
        <f t="shared" si="11"/>
        <v>-955</v>
      </c>
    </row>
    <row r="57" spans="2:13" ht="16" x14ac:dyDescent="0.2">
      <c r="B57" s="193" t="s">
        <v>154</v>
      </c>
      <c r="C57" s="190"/>
      <c r="D57" s="196"/>
      <c r="E57" s="190">
        <f>E17</f>
        <v>307</v>
      </c>
      <c r="F57" s="196">
        <f t="shared" si="5"/>
        <v>-0.26555023923444976</v>
      </c>
      <c r="G57" s="190">
        <f t="shared" ref="G57:M57" si="12">G17</f>
        <v>439</v>
      </c>
      <c r="H57" s="196">
        <f t="shared" si="7"/>
        <v>5.0239234449760861E-2</v>
      </c>
      <c r="I57" s="190">
        <f>I17</f>
        <v>493</v>
      </c>
      <c r="J57" s="196">
        <f t="shared" si="8"/>
        <v>0.17942583732057416</v>
      </c>
      <c r="K57" s="173">
        <f t="shared" si="12"/>
        <v>73</v>
      </c>
      <c r="L57" s="196">
        <f t="shared" si="9"/>
        <v>-0.82535885167464118</v>
      </c>
      <c r="M57" s="186">
        <f t="shared" si="12"/>
        <v>418</v>
      </c>
    </row>
    <row r="58" spans="2:13" ht="16" x14ac:dyDescent="0.2">
      <c r="B58" s="193" t="s">
        <v>190</v>
      </c>
      <c r="C58" s="190"/>
      <c r="D58" s="196"/>
      <c r="E58" s="190">
        <f>E18</f>
        <v>-257</v>
      </c>
      <c r="F58" s="196">
        <f t="shared" si="5"/>
        <v>-1.9846743295019156</v>
      </c>
      <c r="G58" s="190">
        <f t="shared" ref="G58:M58" si="13">G18</f>
        <v>-134</v>
      </c>
      <c r="H58" s="196">
        <f t="shared" si="7"/>
        <v>-1.5134099616858236</v>
      </c>
      <c r="I58" s="190">
        <f>I18</f>
        <v>205</v>
      </c>
      <c r="J58" s="196">
        <f t="shared" si="8"/>
        <v>-0.21455938697318011</v>
      </c>
      <c r="K58" s="173">
        <f t="shared" si="13"/>
        <v>-254</v>
      </c>
      <c r="L58" s="196">
        <f t="shared" si="9"/>
        <v>-1.9731800766283525</v>
      </c>
      <c r="M58" s="186">
        <f t="shared" si="13"/>
        <v>261</v>
      </c>
    </row>
    <row r="59" spans="2:13" ht="17" thickBot="1" x14ac:dyDescent="0.25">
      <c r="B59" s="194" t="s">
        <v>155</v>
      </c>
      <c r="C59" s="192"/>
      <c r="D59" s="197"/>
      <c r="E59" s="192">
        <f>E53+E54+SUM(E55:E58)</f>
        <v>6131</v>
      </c>
      <c r="F59" s="197">
        <f t="shared" si="5"/>
        <v>0.69551991150442483</v>
      </c>
      <c r="G59" s="192">
        <f>G53+G54+SUM(G55:G58)</f>
        <v>5580</v>
      </c>
      <c r="H59" s="197">
        <f t="shared" si="7"/>
        <v>0.54314159292035402</v>
      </c>
      <c r="I59" s="192">
        <f>I53+I54+SUM(I55:I58)</f>
        <v>5907</v>
      </c>
      <c r="J59" s="197">
        <f t="shared" si="8"/>
        <v>0.63357300884955747</v>
      </c>
      <c r="K59" s="188">
        <f>K53+K54+SUM(K55:K58)</f>
        <v>4354</v>
      </c>
      <c r="L59" s="197">
        <f t="shared" si="9"/>
        <v>0.2040929203539823</v>
      </c>
      <c r="M59" s="189">
        <f t="shared" ref="M59" si="14">M53+M54+SUM(M55:M58)</f>
        <v>3616</v>
      </c>
    </row>
    <row r="60" spans="2:13" x14ac:dyDescent="0.2">
      <c r="I60" s="177"/>
    </row>
    <row r="61" spans="2:13" x14ac:dyDescent="0.2">
      <c r="F61" s="177"/>
    </row>
    <row r="63" spans="2:13" x14ac:dyDescent="0.2">
      <c r="B63" s="364" t="s">
        <v>219</v>
      </c>
    </row>
    <row r="67" spans="5:5" x14ac:dyDescent="0.2">
      <c r="E67" s="173"/>
    </row>
    <row r="68" spans="5:5" x14ac:dyDescent="0.2">
      <c r="E68" s="173" t="s">
        <v>203</v>
      </c>
    </row>
    <row r="69" spans="5:5" x14ac:dyDescent="0.2">
      <c r="E69" s="177"/>
    </row>
    <row r="70" spans="5:5" x14ac:dyDescent="0.2">
      <c r="E70" s="173"/>
    </row>
    <row r="71" spans="5:5" x14ac:dyDescent="0.2">
      <c r="E71" s="17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9EED3-3338-BA4D-9593-A18C15DE1032}">
  <dimension ref="B1:AA76"/>
  <sheetViews>
    <sheetView tabSelected="1" workbookViewId="0">
      <selection activeCell="D16" sqref="D16"/>
    </sheetView>
  </sheetViews>
  <sheetFormatPr baseColWidth="10" defaultRowHeight="15" x14ac:dyDescent="0.2"/>
  <cols>
    <col min="2" max="2" width="59.6640625" customWidth="1"/>
    <col min="3" max="3" width="14.6640625" style="19" customWidth="1"/>
    <col min="4" max="4" width="14.6640625" style="19" bestFit="1" customWidth="1"/>
    <col min="5" max="5" width="16.1640625" style="19" customWidth="1"/>
    <col min="6" max="6" width="17.1640625" style="19" customWidth="1"/>
    <col min="7" max="7" width="21.33203125" style="19" customWidth="1"/>
    <col min="8" max="8" width="19.1640625" style="19" customWidth="1"/>
    <col min="12" max="12" width="55.6640625" bestFit="1" customWidth="1"/>
    <col min="13" max="13" width="13.5" customWidth="1"/>
    <col min="21" max="21" width="47.83203125" customWidth="1"/>
    <col min="22" max="22" width="13.83203125" customWidth="1"/>
  </cols>
  <sheetData>
    <row r="1" spans="2:27" ht="16" thickBot="1" x14ac:dyDescent="0.25">
      <c r="L1" s="98" t="s">
        <v>204</v>
      </c>
      <c r="M1" s="212" t="s">
        <v>202</v>
      </c>
      <c r="N1" s="122" t="s">
        <v>63</v>
      </c>
      <c r="O1" s="32" t="s">
        <v>64</v>
      </c>
      <c r="P1" s="37" t="s">
        <v>132</v>
      </c>
      <c r="Q1" s="38" t="s">
        <v>133</v>
      </c>
      <c r="R1" s="275" t="s">
        <v>134</v>
      </c>
      <c r="U1" s="98" t="s">
        <v>90</v>
      </c>
      <c r="V1" s="289" t="s">
        <v>201</v>
      </c>
      <c r="W1" s="290" t="s">
        <v>63</v>
      </c>
      <c r="X1" s="291" t="s">
        <v>64</v>
      </c>
      <c r="Y1" s="292" t="s">
        <v>132</v>
      </c>
      <c r="Z1" s="293" t="s">
        <v>133</v>
      </c>
      <c r="AA1" s="294" t="s">
        <v>134</v>
      </c>
    </row>
    <row r="2" spans="2:27" x14ac:dyDescent="0.2">
      <c r="B2" s="332" t="s">
        <v>136</v>
      </c>
      <c r="C2" s="331" t="s">
        <v>197</v>
      </c>
      <c r="D2" s="307">
        <v>2025</v>
      </c>
      <c r="E2" s="307">
        <v>2024</v>
      </c>
      <c r="F2" s="307">
        <v>2023</v>
      </c>
      <c r="G2" s="307">
        <v>2022</v>
      </c>
      <c r="H2" s="308">
        <v>2021</v>
      </c>
      <c r="L2" s="253" t="str">
        <f>'Balance Sheet'!B3</f>
        <v>Intangible assets</v>
      </c>
      <c r="M2" s="207">
        <f>'Balance Sheet'!C3</f>
        <v>0</v>
      </c>
      <c r="N2" s="259">
        <f>'Balance Sheet'!D3</f>
        <v>31080</v>
      </c>
      <c r="O2" s="259">
        <f>'Balance Sheet'!G3</f>
        <v>32561</v>
      </c>
      <c r="P2" s="259">
        <f>'Balance Sheet'!J3</f>
        <v>30501</v>
      </c>
      <c r="Q2" s="259">
        <f>'Balance Sheet'!M3</f>
        <v>31509</v>
      </c>
      <c r="R2" s="276">
        <f>'Balance Sheet'!P3</f>
        <v>31209</v>
      </c>
      <c r="U2" s="105" t="s">
        <v>65</v>
      </c>
      <c r="V2" s="66">
        <f>'Income Statement'!C3</f>
        <v>0</v>
      </c>
      <c r="W2" s="66">
        <f>'Income Statement'!F3</f>
        <v>40152</v>
      </c>
      <c r="X2" s="66">
        <f>'Income Statement'!I3</f>
        <v>38153</v>
      </c>
      <c r="Y2" s="66">
        <f>'Income Statement'!L3</f>
        <v>35902</v>
      </c>
      <c r="Z2" s="66">
        <f>'Income Statement'!O3</f>
        <v>34176</v>
      </c>
      <c r="AA2" s="295">
        <f>'Income Statement'!R3</f>
        <v>28905</v>
      </c>
    </row>
    <row r="3" spans="2:27" x14ac:dyDescent="0.2">
      <c r="B3" s="333" t="s">
        <v>137</v>
      </c>
      <c r="C3" s="309"/>
      <c r="D3" s="310"/>
      <c r="E3" s="310"/>
      <c r="F3" s="310"/>
      <c r="G3" s="310"/>
      <c r="H3" s="311"/>
      <c r="L3" s="253" t="str">
        <f>'Balance Sheet'!B4</f>
        <v>Property, plant and equipment</v>
      </c>
      <c r="M3" s="207">
        <f>'Balance Sheet'!C4</f>
        <v>0</v>
      </c>
      <c r="N3" s="259">
        <f>'Balance Sheet'!D4</f>
        <v>5481</v>
      </c>
      <c r="O3" s="259">
        <f>'Balance Sheet'!G4</f>
        <v>4884</v>
      </c>
      <c r="P3" s="259">
        <f>'Balance Sheet'!J4</f>
        <v>4209</v>
      </c>
      <c r="Q3" s="259">
        <f>'Balance Sheet'!M4</f>
        <v>3935</v>
      </c>
      <c r="R3" s="276">
        <f>'Balance Sheet'!P4</f>
        <v>3826</v>
      </c>
      <c r="U3" s="105" t="s">
        <v>66</v>
      </c>
      <c r="V3" s="66">
        <f>'Income Statement'!C4</f>
        <v>0</v>
      </c>
      <c r="W3" s="66">
        <f>'Income Statement'!F4</f>
        <v>-23257</v>
      </c>
      <c r="X3" s="66">
        <f>'Income Statement'!I4</f>
        <v>-21885</v>
      </c>
      <c r="Y3" s="66">
        <f>'Income Statement'!L4</f>
        <v>-20890</v>
      </c>
      <c r="Z3" s="66">
        <f>'Income Statement'!O4</f>
        <v>-20300</v>
      </c>
      <c r="AA3" s="295">
        <f>'Income Statement'!R4</f>
        <v>-17062</v>
      </c>
    </row>
    <row r="4" spans="2:27" x14ac:dyDescent="0.2">
      <c r="B4" s="334" t="s">
        <v>138</v>
      </c>
      <c r="C4" s="306" t="e">
        <f t="shared" ref="C4:H4" si="0">V23/M16</f>
        <v>#DIV/0!</v>
      </c>
      <c r="D4" s="306">
        <f t="shared" si="0"/>
        <v>0.17791862604784298</v>
      </c>
      <c r="E4" s="306">
        <f t="shared" si="0"/>
        <v>0.14191176470588235</v>
      </c>
      <c r="F4" s="306">
        <f t="shared" si="0"/>
        <v>0.15345259128386338</v>
      </c>
      <c r="G4" s="306">
        <f t="shared" si="0"/>
        <v>0.13551007894535141</v>
      </c>
      <c r="H4" s="312">
        <f t="shared" si="0"/>
        <v>0.11643957451350101</v>
      </c>
      <c r="L4" s="253" t="str">
        <f>'Balance Sheet'!B5</f>
        <v>Other non-current assets</v>
      </c>
      <c r="M4" s="207">
        <f>'Balance Sheet'!C5</f>
        <v>0</v>
      </c>
      <c r="N4" s="259">
        <f>'Balance Sheet'!D5</f>
        <v>3905</v>
      </c>
      <c r="O4" s="259">
        <f>'Balance Sheet'!G5</f>
        <v>4506</v>
      </c>
      <c r="P4" s="259">
        <f>'Balance Sheet'!J5</f>
        <v>4087</v>
      </c>
      <c r="Q4" s="259">
        <f>'Balance Sheet'!M5</f>
        <v>3982</v>
      </c>
      <c r="R4" s="276">
        <f>'Balance Sheet'!P5</f>
        <v>4088</v>
      </c>
      <c r="U4" s="107" t="s">
        <v>67</v>
      </c>
      <c r="V4" s="68">
        <f>'Income Statement'!C5</f>
        <v>0</v>
      </c>
      <c r="W4" s="68">
        <f>'Income Statement'!F5</f>
        <v>16895</v>
      </c>
      <c r="X4" s="68">
        <f>'Income Statement'!I5</f>
        <v>16268</v>
      </c>
      <c r="Y4" s="68">
        <f>'Income Statement'!L5</f>
        <v>15012</v>
      </c>
      <c r="Z4" s="68">
        <f>'Income Statement'!O5</f>
        <v>13876</v>
      </c>
      <c r="AA4" s="296">
        <f>'Income Statement'!R5</f>
        <v>11843</v>
      </c>
    </row>
    <row r="5" spans="2:27" x14ac:dyDescent="0.2">
      <c r="B5" s="334" t="s">
        <v>139</v>
      </c>
      <c r="C5" s="306" t="e">
        <f t="shared" ref="C5:H5" si="1">V23/V2</f>
        <v>#DIV/0!</v>
      </c>
      <c r="D5" s="306">
        <f t="shared" si="1"/>
        <v>0.10836321976489341</v>
      </c>
      <c r="E5" s="306">
        <f t="shared" si="1"/>
        <v>0.1163473383482295</v>
      </c>
      <c r="F5" s="306">
        <f t="shared" si="1"/>
        <v>0.11612166453122388</v>
      </c>
      <c r="G5" s="306">
        <f t="shared" si="1"/>
        <v>0.10346441947565543</v>
      </c>
      <c r="H5" s="312">
        <f t="shared" si="1"/>
        <v>0.11323300467047223</v>
      </c>
      <c r="L5" s="254" t="str">
        <f>'Balance Sheet'!B6</f>
        <v>Total non-current assets</v>
      </c>
      <c r="M5" s="208">
        <f>'Balance Sheet'!C6</f>
        <v>0</v>
      </c>
      <c r="N5" s="260">
        <f>'Balance Sheet'!D6</f>
        <v>40466</v>
      </c>
      <c r="O5" s="260">
        <f>'Balance Sheet'!G6</f>
        <v>41951</v>
      </c>
      <c r="P5" s="260">
        <f>'Balance Sheet'!J6</f>
        <v>38797</v>
      </c>
      <c r="Q5" s="260">
        <f>'Balance Sheet'!M6</f>
        <v>39426</v>
      </c>
      <c r="R5" s="277">
        <f>'Balance Sheet'!P6</f>
        <v>39123</v>
      </c>
      <c r="U5" s="105" t="s">
        <v>68</v>
      </c>
      <c r="V5" s="66">
        <f>'Income Statement'!C6</f>
        <v>0</v>
      </c>
      <c r="W5" s="66">
        <f>'Income Statement'!F6</f>
        <v>-1365</v>
      </c>
      <c r="X5" s="66">
        <f>'Income Statement'!I6</f>
        <v>-1308</v>
      </c>
      <c r="Y5" s="66">
        <f>'Income Statement'!L6</f>
        <v>-1168</v>
      </c>
      <c r="Z5" s="66">
        <f>'Income Statement'!O6</f>
        <v>-1040</v>
      </c>
      <c r="AA5" s="295">
        <f>'Income Statement'!R6</f>
        <v>-855</v>
      </c>
    </row>
    <row r="6" spans="2:27" x14ac:dyDescent="0.2">
      <c r="B6" s="334" t="s">
        <v>140</v>
      </c>
      <c r="C6" s="306" t="e">
        <f t="shared" ref="C6:H6" si="2">V2/M11</f>
        <v>#DIV/0!</v>
      </c>
      <c r="D6" s="313">
        <f t="shared" si="2"/>
        <v>0.6423908869832331</v>
      </c>
      <c r="E6" s="313">
        <f t="shared" si="2"/>
        <v>0.57857543636170627</v>
      </c>
      <c r="F6" s="313">
        <f t="shared" si="2"/>
        <v>0.60955194485475139</v>
      </c>
      <c r="G6" s="313">
        <f t="shared" si="2"/>
        <v>0.58552631578947367</v>
      </c>
      <c r="H6" s="314">
        <f t="shared" si="2"/>
        <v>0.52990998588373328</v>
      </c>
      <c r="L6" s="253" t="str">
        <f>'Balance Sheet'!B7</f>
        <v>Inventories</v>
      </c>
      <c r="M6" s="207">
        <f>'Balance Sheet'!C7</f>
        <v>0</v>
      </c>
      <c r="N6" s="259">
        <f>'Balance Sheet'!D7</f>
        <v>5368</v>
      </c>
      <c r="O6" s="259">
        <f>'Balance Sheet'!G7</f>
        <v>5411</v>
      </c>
      <c r="P6" s="259">
        <f>'Balance Sheet'!J7</f>
        <v>4519</v>
      </c>
      <c r="Q6" s="259">
        <f>'Balance Sheet'!M7</f>
        <v>4346</v>
      </c>
      <c r="R6" s="276">
        <f>'Balance Sheet'!P7</f>
        <v>3971</v>
      </c>
      <c r="U6" s="105" t="s">
        <v>69</v>
      </c>
      <c r="V6" s="66">
        <f>'Income Statement'!C7</f>
        <v>0</v>
      </c>
      <c r="W6" s="66">
        <f>'Income Statement'!F7</f>
        <v>-8010</v>
      </c>
      <c r="X6" s="66">
        <f>'Income Statement'!I7</f>
        <v>-7877</v>
      </c>
      <c r="Y6" s="66">
        <f>'Income Statement'!L7</f>
        <v>-7432</v>
      </c>
      <c r="Z6" s="66">
        <f>'Income Statement'!O7</f>
        <v>-6819</v>
      </c>
      <c r="AA6" s="295">
        <f>'Income Statement'!R7</f>
        <v>-6001</v>
      </c>
    </row>
    <row r="7" spans="2:27" x14ac:dyDescent="0.2">
      <c r="B7" s="334" t="s">
        <v>141</v>
      </c>
      <c r="C7" s="267" t="e">
        <f t="shared" ref="C7:H7" si="3">M11/M16</f>
        <v>#DIV/0!</v>
      </c>
      <c r="D7" s="267">
        <f t="shared" si="3"/>
        <v>2.5558781435289308</v>
      </c>
      <c r="E7" s="267">
        <f t="shared" si="3"/>
        <v>2.1081521739130435</v>
      </c>
      <c r="F7" s="267">
        <f t="shared" si="3"/>
        <v>2.1679549469964665</v>
      </c>
      <c r="G7" s="267">
        <f t="shared" si="3"/>
        <v>2.2368360542653485</v>
      </c>
      <c r="H7" s="315">
        <f t="shared" si="3"/>
        <v>1.9405528478423282</v>
      </c>
      <c r="L7" s="253" t="str">
        <f>'Balance Sheet'!B8</f>
        <v>Accounts receivable</v>
      </c>
      <c r="M7" s="207">
        <f>'Balance Sheet'!C8</f>
        <v>0</v>
      </c>
      <c r="N7" s="259">
        <f>'Balance Sheet'!D8</f>
        <v>9836</v>
      </c>
      <c r="O7" s="259">
        <f>'Balance Sheet'!G8</f>
        <v>9364</v>
      </c>
      <c r="P7" s="259">
        <f>'Balance Sheet'!J8</f>
        <v>8388</v>
      </c>
      <c r="Q7" s="259">
        <f>'Balance Sheet'!M8</f>
        <v>7514</v>
      </c>
      <c r="R7" s="276">
        <f>'Balance Sheet'!P8</f>
        <v>6829</v>
      </c>
      <c r="U7" s="107" t="s">
        <v>70</v>
      </c>
      <c r="V7" s="68">
        <f>'Income Statement'!C8</f>
        <v>0</v>
      </c>
      <c r="W7" s="68">
        <f>'Income Statement'!F8</f>
        <v>7520</v>
      </c>
      <c r="X7" s="68">
        <f>'Income Statement'!I8</f>
        <v>7083</v>
      </c>
      <c r="Y7" s="68">
        <f>'Income Statement'!L8</f>
        <v>6412</v>
      </c>
      <c r="Z7" s="68">
        <f>'Income Statement'!O8</f>
        <v>6017</v>
      </c>
      <c r="AA7" s="296">
        <f>'Income Statement'!R8</f>
        <v>4987</v>
      </c>
    </row>
    <row r="8" spans="2:27" x14ac:dyDescent="0.2">
      <c r="B8" s="335" t="s">
        <v>142</v>
      </c>
      <c r="C8" s="316"/>
      <c r="D8" s="310"/>
      <c r="E8" s="310"/>
      <c r="F8" s="310"/>
      <c r="G8" s="310"/>
      <c r="H8" s="311"/>
      <c r="L8" s="253" t="str">
        <f>'Balance Sheet'!B9</f>
        <v>Other current assets</v>
      </c>
      <c r="M8" s="207">
        <f>'Balance Sheet'!C9</f>
        <v>0</v>
      </c>
      <c r="N8" s="259">
        <f>'Balance Sheet'!D9</f>
        <v>2200</v>
      </c>
      <c r="O8" s="259">
        <f>'Balance Sheet'!G9</f>
        <v>2330</v>
      </c>
      <c r="P8" s="259">
        <f>'Balance Sheet'!J9</f>
        <v>2290</v>
      </c>
      <c r="Q8" s="259">
        <f>'Balance Sheet'!M9</f>
        <v>2155</v>
      </c>
      <c r="R8" s="276">
        <f>'Balance Sheet'!P9</f>
        <v>2002</v>
      </c>
      <c r="U8" s="105" t="s">
        <v>71</v>
      </c>
      <c r="V8" s="66">
        <f>'Income Statement'!C9</f>
        <v>0</v>
      </c>
      <c r="W8" s="66">
        <f>'Income Statement'!F9</f>
        <v>-77</v>
      </c>
      <c r="X8" s="66">
        <f>'Income Statement'!I9</f>
        <v>-87</v>
      </c>
      <c r="Y8" s="66">
        <f>'Income Statement'!L9</f>
        <v>98</v>
      </c>
      <c r="Z8" s="66">
        <f>'Income Statement'!O9</f>
        <v>-433</v>
      </c>
      <c r="AA8" s="295">
        <f>'Income Statement'!R9</f>
        <v>-21</v>
      </c>
    </row>
    <row r="9" spans="2:27" x14ac:dyDescent="0.2">
      <c r="B9" s="334" t="s">
        <v>143</v>
      </c>
      <c r="C9" s="306" t="e">
        <f t="shared" ref="C9:H9" si="4">C5*C6*C7</f>
        <v>#DIV/0!</v>
      </c>
      <c r="D9" s="306">
        <f t="shared" si="4"/>
        <v>0.17791862604784298</v>
      </c>
      <c r="E9" s="306">
        <f t="shared" si="4"/>
        <v>0.14191176470588235</v>
      </c>
      <c r="F9" s="306">
        <f t="shared" si="4"/>
        <v>0.15345259128386338</v>
      </c>
      <c r="G9" s="306">
        <f t="shared" si="4"/>
        <v>0.13551007894535144</v>
      </c>
      <c r="H9" s="312">
        <f t="shared" si="4"/>
        <v>0.11643957451350101</v>
      </c>
      <c r="L9" s="253" t="str">
        <f>'Balance Sheet'!B10</f>
        <v>Cash and cash equivalents</v>
      </c>
      <c r="M9" s="207">
        <f>'Balance Sheet'!C10</f>
        <v>0</v>
      </c>
      <c r="N9" s="259">
        <f>'Balance Sheet'!D10</f>
        <v>4634</v>
      </c>
      <c r="O9" s="259">
        <f>'Balance Sheet'!G10</f>
        <v>6887</v>
      </c>
      <c r="P9" s="259">
        <f>'Balance Sheet'!J10</f>
        <v>4696</v>
      </c>
      <c r="Q9" s="259">
        <f>'Balance Sheet'!M10</f>
        <v>4927</v>
      </c>
      <c r="R9" s="276">
        <f>'Balance Sheet'!P10</f>
        <v>2622</v>
      </c>
      <c r="U9" s="105" t="s">
        <v>72</v>
      </c>
      <c r="V9" s="66">
        <f>'Income Statement'!C10</f>
        <v>0</v>
      </c>
      <c r="W9" s="66">
        <f>'Income Statement'!F10</f>
        <v>-287</v>
      </c>
      <c r="X9" s="66">
        <f>'Income Statement'!I10</f>
        <v>-141</v>
      </c>
      <c r="Y9" s="66">
        <f>'Income Statement'!L10</f>
        <v>-147</v>
      </c>
      <c r="Z9" s="66">
        <f>'Income Statement'!O10</f>
        <v>-227</v>
      </c>
      <c r="AA9" s="295">
        <f>'Income Statement'!R10</f>
        <v>-225</v>
      </c>
    </row>
    <row r="10" spans="2:27" x14ac:dyDescent="0.2">
      <c r="B10" s="335" t="s">
        <v>144</v>
      </c>
      <c r="C10" s="316"/>
      <c r="D10" s="310"/>
      <c r="E10" s="310"/>
      <c r="F10" s="310"/>
      <c r="G10" s="310"/>
      <c r="H10" s="311"/>
      <c r="L10" s="254" t="str">
        <f>'Balance Sheet'!B11</f>
        <v>Total current assets</v>
      </c>
      <c r="M10" s="208">
        <f>'Balance Sheet'!C11</f>
        <v>0</v>
      </c>
      <c r="N10" s="260">
        <f>'Balance Sheet'!D11</f>
        <v>22038</v>
      </c>
      <c r="O10" s="260">
        <f>'Balance Sheet'!G11</f>
        <v>23992</v>
      </c>
      <c r="P10" s="260">
        <f>'Balance Sheet'!J11</f>
        <v>19893</v>
      </c>
      <c r="Q10" s="260">
        <f>'Balance Sheet'!M11</f>
        <v>18942</v>
      </c>
      <c r="R10" s="277">
        <f>'Balance Sheet'!P11</f>
        <v>15424</v>
      </c>
      <c r="U10" s="107" t="s">
        <v>73</v>
      </c>
      <c r="V10" s="68">
        <f>'Income Statement'!C11</f>
        <v>0</v>
      </c>
      <c r="W10" s="68">
        <f>'Income Statement'!F11</f>
        <v>7156</v>
      </c>
      <c r="X10" s="68">
        <f>'Income Statement'!I11</f>
        <v>6855</v>
      </c>
      <c r="Y10" s="68">
        <f>'Income Statement'!L11</f>
        <v>6363</v>
      </c>
      <c r="Z10" s="68">
        <f>'Income Statement'!O11</f>
        <v>5357</v>
      </c>
      <c r="AA10" s="296">
        <f>'Income Statement'!R11</f>
        <v>4741</v>
      </c>
    </row>
    <row r="11" spans="2:27" ht="16" thickBot="1" x14ac:dyDescent="0.25">
      <c r="B11" s="336" t="s">
        <v>145</v>
      </c>
      <c r="C11" s="306" t="e">
        <f t="shared" ref="C11:H11" si="5">V4/V2</f>
        <v>#DIV/0!</v>
      </c>
      <c r="D11" s="306">
        <f t="shared" si="5"/>
        <v>0.42077605100617654</v>
      </c>
      <c r="E11" s="306">
        <f t="shared" si="5"/>
        <v>0.42638848845438104</v>
      </c>
      <c r="F11" s="306">
        <f t="shared" si="5"/>
        <v>0.41813826527770043</v>
      </c>
      <c r="G11" s="306">
        <f t="shared" si="5"/>
        <v>0.40601591760299627</v>
      </c>
      <c r="H11" s="312">
        <f t="shared" si="5"/>
        <v>0.40972150147033387</v>
      </c>
      <c r="L11" s="254" t="str">
        <f>'Balance Sheet'!B12</f>
        <v>Total assets</v>
      </c>
      <c r="M11" s="209">
        <f>'Balance Sheet'!C12</f>
        <v>0</v>
      </c>
      <c r="N11" s="261">
        <f>'Balance Sheet'!D12</f>
        <v>62504</v>
      </c>
      <c r="O11" s="261">
        <f>'Balance Sheet'!G12</f>
        <v>65943</v>
      </c>
      <c r="P11" s="261">
        <f>'Balance Sheet'!J12</f>
        <v>58899</v>
      </c>
      <c r="Q11" s="261">
        <f>'Balance Sheet'!M12</f>
        <v>58368</v>
      </c>
      <c r="R11" s="278">
        <f>'Balance Sheet'!P12</f>
        <v>54547</v>
      </c>
      <c r="U11" s="354" t="s">
        <v>211</v>
      </c>
      <c r="V11" s="68" t="e">
        <f>'Income Statement'!C12</f>
        <v>#VALUE!</v>
      </c>
      <c r="W11" s="68">
        <f>'Income Statement'!F12</f>
        <v>8027</v>
      </c>
      <c r="X11" s="68">
        <f>'Income Statement'!I12</f>
        <v>7677</v>
      </c>
      <c r="Y11" s="68">
        <f>'Income Statement'!L12</f>
        <v>7080</v>
      </c>
      <c r="Z11" s="68">
        <f>'Income Statement'!O12</f>
        <v>6089</v>
      </c>
      <c r="AA11" s="296">
        <f>'Income Statement'!R12</f>
        <v>5429</v>
      </c>
    </row>
    <row r="12" spans="2:27" ht="16" thickTop="1" x14ac:dyDescent="0.2">
      <c r="B12" s="334" t="s">
        <v>212</v>
      </c>
      <c r="C12" s="317">
        <f t="shared" ref="C12:H12" si="6">V10</f>
        <v>0</v>
      </c>
      <c r="D12" s="317">
        <f>W10</f>
        <v>7156</v>
      </c>
      <c r="E12" s="317">
        <f t="shared" si="6"/>
        <v>6855</v>
      </c>
      <c r="F12" s="317">
        <f t="shared" si="6"/>
        <v>6363</v>
      </c>
      <c r="G12" s="317">
        <f t="shared" si="6"/>
        <v>5357</v>
      </c>
      <c r="H12" s="318">
        <f t="shared" si="6"/>
        <v>4741</v>
      </c>
      <c r="L12" s="253" t="str">
        <f>'Balance Sheet'!B13</f>
        <v>Issued share capital</v>
      </c>
      <c r="M12" s="207">
        <f>'Balance Sheet'!C13</f>
        <v>0</v>
      </c>
      <c r="N12" s="259">
        <f>'Balance Sheet'!D13</f>
        <v>2308</v>
      </c>
      <c r="O12" s="259">
        <f>'Balance Sheet'!G13</f>
        <v>2303</v>
      </c>
      <c r="P12" s="259">
        <f>'Balance Sheet'!J13</f>
        <v>2291</v>
      </c>
      <c r="Q12" s="259">
        <f>'Balance Sheet'!M13</f>
        <v>2284</v>
      </c>
      <c r="R12" s="276">
        <f>'Balance Sheet'!P13</f>
        <v>2276</v>
      </c>
      <c r="U12" s="105" t="s">
        <v>74</v>
      </c>
      <c r="V12" s="66">
        <f>'Income Statement'!C13</f>
        <v>0</v>
      </c>
      <c r="W12" s="66">
        <f>'Income Statement'!F13</f>
        <v>-457</v>
      </c>
      <c r="X12" s="66">
        <f>'Income Statement'!I13</f>
        <v>-406</v>
      </c>
      <c r="Y12" s="66">
        <f>'Income Statement'!L13</f>
        <v>-430</v>
      </c>
      <c r="Z12" s="66">
        <f>'Income Statement'!O13</f>
        <v>-424</v>
      </c>
      <c r="AA12" s="295">
        <f>'Income Statement'!R13</f>
        <v>-410</v>
      </c>
    </row>
    <row r="13" spans="2:27" x14ac:dyDescent="0.2">
      <c r="B13" s="334" t="s">
        <v>213</v>
      </c>
      <c r="C13" s="19" t="e">
        <f t="shared" ref="C13:H13" si="7">V10/V2</f>
        <v>#DIV/0!</v>
      </c>
      <c r="D13" s="306">
        <f t="shared" si="7"/>
        <v>0.17822275353656106</v>
      </c>
      <c r="E13" s="306">
        <f t="shared" si="7"/>
        <v>0.17967132335596153</v>
      </c>
      <c r="F13" s="306">
        <f t="shared" si="7"/>
        <v>0.17723246615787422</v>
      </c>
      <c r="G13" s="306">
        <f t="shared" si="7"/>
        <v>0.15674742509363296</v>
      </c>
      <c r="H13" s="312">
        <f t="shared" si="7"/>
        <v>0.16402006573257222</v>
      </c>
      <c r="L13" s="255" t="str">
        <f>'Balance Sheet'!B14</f>
        <v>Capital &amp; Other reserves</v>
      </c>
      <c r="M13" s="210">
        <f>'Balance Sheet'!C14</f>
        <v>0</v>
      </c>
      <c r="N13" s="262">
        <f>'Balance Sheet'!D14</f>
        <v>24415</v>
      </c>
      <c r="O13" s="262">
        <f>'Balance Sheet'!G14</f>
        <v>5300</v>
      </c>
      <c r="P13" s="262">
        <f>'Balance Sheet'!J14</f>
        <v>3284</v>
      </c>
      <c r="Q13" s="262">
        <f>'Balance Sheet'!M14</f>
        <v>3998</v>
      </c>
      <c r="R13" s="279">
        <f>'Balance Sheet'!P14</f>
        <v>6139</v>
      </c>
      <c r="U13" s="107" t="s">
        <v>75</v>
      </c>
      <c r="V13" s="68">
        <f>'Income Statement'!C14</f>
        <v>0</v>
      </c>
      <c r="W13" s="68">
        <f>'Income Statement'!F14</f>
        <v>6699</v>
      </c>
      <c r="X13" s="68">
        <f>'Income Statement'!I14</f>
        <v>6449</v>
      </c>
      <c r="Y13" s="68">
        <f>'Income Statement'!L14</f>
        <v>5933</v>
      </c>
      <c r="Z13" s="68">
        <f>'Income Statement'!O14</f>
        <v>4933</v>
      </c>
      <c r="AA13" s="296">
        <f>'Income Statement'!R14</f>
        <v>4331</v>
      </c>
    </row>
    <row r="14" spans="2:27" x14ac:dyDescent="0.2">
      <c r="B14" s="334" t="s">
        <v>146</v>
      </c>
      <c r="C14" s="306" t="e">
        <f t="shared" ref="C14:H14" si="8">V13/V2</f>
        <v>#DIV/0!</v>
      </c>
      <c r="D14" s="306">
        <f t="shared" si="8"/>
        <v>0.16684100418410042</v>
      </c>
      <c r="E14" s="306">
        <f t="shared" si="8"/>
        <v>0.16902995832568868</v>
      </c>
      <c r="F14" s="306">
        <f t="shared" si="8"/>
        <v>0.16525541752548606</v>
      </c>
      <c r="G14" s="306">
        <f t="shared" si="8"/>
        <v>0.14434105805243447</v>
      </c>
      <c r="H14" s="312">
        <f t="shared" si="8"/>
        <v>0.14983566856945166</v>
      </c>
      <c r="L14" s="255" t="str">
        <f>'Balance Sheet'!B15</f>
        <v>Equity portion of convertible debt</v>
      </c>
      <c r="M14" s="207">
        <f>'Balance Sheet'!C15</f>
        <v>0</v>
      </c>
      <c r="N14" s="259">
        <f>'Balance Sheet'!D15</f>
        <v>0</v>
      </c>
      <c r="O14" s="259">
        <f>'Balance Sheet'!G15</f>
        <v>0</v>
      </c>
      <c r="P14" s="259">
        <f>'Balance Sheet'!J15</f>
        <v>0</v>
      </c>
      <c r="Q14" s="259">
        <f>'Balance Sheet'!M15</f>
        <v>0</v>
      </c>
      <c r="R14" s="276">
        <f>'Balance Sheet'!P15</f>
        <v>0</v>
      </c>
      <c r="U14" s="105" t="s">
        <v>76</v>
      </c>
      <c r="V14" s="66">
        <f>'Income Statement'!C15</f>
        <v>0</v>
      </c>
      <c r="W14" s="66">
        <f>'Income Statement'!F15</f>
        <v>152</v>
      </c>
      <c r="X14" s="66">
        <f>'Income Statement'!I15</f>
        <v>174</v>
      </c>
      <c r="Y14" s="66">
        <f>'Income Statement'!L15</f>
        <v>79</v>
      </c>
      <c r="Z14" s="66">
        <f>'Income Statement'!O15</f>
        <v>24</v>
      </c>
      <c r="AA14" s="295">
        <f>'Income Statement'!R15</f>
        <v>4</v>
      </c>
    </row>
    <row r="15" spans="2:27" x14ac:dyDescent="0.2">
      <c r="B15" s="335" t="s">
        <v>147</v>
      </c>
      <c r="C15" s="316"/>
      <c r="D15" s="310"/>
      <c r="E15" s="310"/>
      <c r="F15" s="310"/>
      <c r="G15" s="310"/>
      <c r="H15" s="311"/>
      <c r="L15" s="253" t="str">
        <f>'Balance Sheet'!B16</f>
        <v>Retained earnings</v>
      </c>
      <c r="M15" s="207">
        <f>'Balance Sheet'!C16</f>
        <v>0</v>
      </c>
      <c r="N15" s="259">
        <f>'Balance Sheet'!D16</f>
        <v>-2268</v>
      </c>
      <c r="O15" s="259">
        <f>'Balance Sheet'!G16</f>
        <v>23677</v>
      </c>
      <c r="P15" s="259">
        <f>'Balance Sheet'!J16</f>
        <v>21593</v>
      </c>
      <c r="Q15" s="259">
        <f>'Balance Sheet'!M16</f>
        <v>19812</v>
      </c>
      <c r="R15" s="276">
        <f>'Balance Sheet'!P16</f>
        <v>19694</v>
      </c>
      <c r="U15" s="105" t="s">
        <v>77</v>
      </c>
      <c r="V15" s="66">
        <f>'Income Statement'!C16</f>
        <v>0</v>
      </c>
      <c r="W15" s="66">
        <f>'Income Statement'!F16</f>
        <v>-473</v>
      </c>
      <c r="X15" s="66">
        <f>'Income Statement'!I16</f>
        <v>-435</v>
      </c>
      <c r="Y15" s="66">
        <f>'Income Statement'!L16</f>
        <v>-387</v>
      </c>
      <c r="Z15" s="66">
        <f>'Income Statement'!O16</f>
        <v>-130</v>
      </c>
      <c r="AA15" s="295">
        <f>'Income Statement'!R16</f>
        <v>-99</v>
      </c>
    </row>
    <row r="16" spans="2:27" x14ac:dyDescent="0.2">
      <c r="B16" s="334" t="s">
        <v>166</v>
      </c>
      <c r="C16" s="19" t="e">
        <f t="shared" ref="C16:H16" si="9">(M7*360)/V2</f>
        <v>#DIV/0!</v>
      </c>
      <c r="D16" s="319">
        <f t="shared" si="9"/>
        <v>88.188882247459659</v>
      </c>
      <c r="E16" s="319">
        <f t="shared" si="9"/>
        <v>88.355830472046762</v>
      </c>
      <c r="F16" s="319">
        <f t="shared" si="9"/>
        <v>84.108963288953262</v>
      </c>
      <c r="G16" s="319">
        <f t="shared" si="9"/>
        <v>79.150280898876403</v>
      </c>
      <c r="H16" s="320">
        <f t="shared" si="9"/>
        <v>85.052413077322257</v>
      </c>
      <c r="L16" s="254" t="str">
        <f>'Balance Sheet'!B17</f>
        <v>Total equity</v>
      </c>
      <c r="M16" s="208">
        <f>'Balance Sheet'!C17</f>
        <v>0</v>
      </c>
      <c r="N16" s="260">
        <f>'Balance Sheet'!D17</f>
        <v>24455</v>
      </c>
      <c r="O16" s="260">
        <f>'Balance Sheet'!G17</f>
        <v>31280</v>
      </c>
      <c r="P16" s="260">
        <f>'Balance Sheet'!J17</f>
        <v>27168</v>
      </c>
      <c r="Q16" s="260">
        <f>'Balance Sheet'!M17</f>
        <v>26094</v>
      </c>
      <c r="R16" s="277">
        <f>'Balance Sheet'!P17</f>
        <v>28109</v>
      </c>
      <c r="U16" s="111" t="s">
        <v>78</v>
      </c>
      <c r="V16" s="169">
        <f>'Income Statement'!C17</f>
        <v>0</v>
      </c>
      <c r="W16" s="169">
        <f>'Income Statement'!F17</f>
        <v>-321</v>
      </c>
      <c r="X16" s="169">
        <f>'Income Statement'!I17</f>
        <v>-261</v>
      </c>
      <c r="Y16" s="169">
        <f>'Income Statement'!L17</f>
        <v>-308</v>
      </c>
      <c r="Z16" s="169">
        <f>'Income Statement'!O17</f>
        <v>-106</v>
      </c>
      <c r="AA16" s="297">
        <f>'Income Statement'!R17</f>
        <v>-95</v>
      </c>
    </row>
    <row r="17" spans="2:27" x14ac:dyDescent="0.2">
      <c r="B17" s="334" t="s">
        <v>167</v>
      </c>
      <c r="C17" s="19" t="e">
        <f>(M6*360)/V3</f>
        <v>#DIV/0!</v>
      </c>
      <c r="D17" s="319">
        <f>(N6*360)/-W3</f>
        <v>83.092402287483338</v>
      </c>
      <c r="E17" s="319">
        <f>(O6*360)/-X3</f>
        <v>89.008910212474291</v>
      </c>
      <c r="F17" s="319">
        <f t="shared" ref="F17:H17" si="10">(P6*360)/-Y3</f>
        <v>77.876495931067495</v>
      </c>
      <c r="G17" s="319">
        <f t="shared" si="10"/>
        <v>77.07192118226601</v>
      </c>
      <c r="H17" s="320">
        <f t="shared" si="10"/>
        <v>83.786191536748333</v>
      </c>
      <c r="L17" s="253" t="str">
        <f>'Balance Sheet'!B18</f>
        <v>Borrowings &amp; similar liabilities</v>
      </c>
      <c r="M17" s="207">
        <f>'Balance Sheet'!C18</f>
        <v>0</v>
      </c>
      <c r="N17" s="259">
        <f>'Balance Sheet'!D18</f>
        <v>15021</v>
      </c>
      <c r="O17" s="259">
        <f>'Balance Sheet'!G18</f>
        <v>10910</v>
      </c>
      <c r="P17" s="259">
        <f>'Balance Sheet'!J18</f>
        <v>11592</v>
      </c>
      <c r="Q17" s="259">
        <f>'Balance Sheet'!M18</f>
        <v>7330</v>
      </c>
      <c r="R17" s="276">
        <f>'Balance Sheet'!P18</f>
        <v>7554</v>
      </c>
      <c r="U17" s="105" t="s">
        <v>79</v>
      </c>
      <c r="V17" s="66">
        <f>'Income Statement'!C18</f>
        <v>0</v>
      </c>
      <c r="W17" s="66">
        <f>'Income Statement'!F18</f>
        <v>-198</v>
      </c>
      <c r="X17" s="66">
        <f>'Income Statement'!I18</f>
        <v>-148</v>
      </c>
      <c r="Y17" s="66">
        <f>'Income Statement'!L18</f>
        <v>-222</v>
      </c>
      <c r="Z17" s="66">
        <f>'Income Statement'!O18</f>
        <v>-109</v>
      </c>
      <c r="AA17" s="295">
        <f>'Income Statement'!R18</f>
        <v>-81</v>
      </c>
    </row>
    <row r="18" spans="2:27" x14ac:dyDescent="0.2">
      <c r="B18" s="334" t="s">
        <v>168</v>
      </c>
      <c r="C18" s="19" t="e">
        <f t="shared" ref="C18:H18" si="11">(M20*360)/-V3</f>
        <v>#DIV/0!</v>
      </c>
      <c r="D18" s="319">
        <f t="shared" si="11"/>
        <v>144.37459689555831</v>
      </c>
      <c r="E18" s="319">
        <f t="shared" si="11"/>
        <v>146.28649760109664</v>
      </c>
      <c r="F18" s="319">
        <f t="shared" si="11"/>
        <v>130.90282431785542</v>
      </c>
      <c r="G18" s="319">
        <f t="shared" si="11"/>
        <v>110.90837438423645</v>
      </c>
      <c r="H18" s="320">
        <f t="shared" si="11"/>
        <v>120.58375337006213</v>
      </c>
      <c r="L18" s="253" t="str">
        <f>'Balance Sheet'!B19</f>
        <v>Other non-current liabilities</v>
      </c>
      <c r="M18" s="207">
        <f>'Balance Sheet'!C19</f>
        <v>0</v>
      </c>
      <c r="N18" s="259">
        <f>'Balance Sheet'!D19</f>
        <v>4522</v>
      </c>
      <c r="O18" s="259">
        <f>'Balance Sheet'!G19</f>
        <v>4184</v>
      </c>
      <c r="P18" s="259">
        <f>'Balance Sheet'!J19</f>
        <v>3629</v>
      </c>
      <c r="Q18" s="259">
        <f>'Balance Sheet'!M19</f>
        <v>4124</v>
      </c>
      <c r="R18" s="276">
        <f>'Balance Sheet'!P19</f>
        <v>4662</v>
      </c>
      <c r="U18" s="107" t="s">
        <v>80</v>
      </c>
      <c r="V18" s="70">
        <f>'Income Statement'!C19</f>
        <v>0</v>
      </c>
      <c r="W18" s="70">
        <f>'Income Statement'!F19</f>
        <v>-519</v>
      </c>
      <c r="X18" s="70">
        <f>'Income Statement'!I19</f>
        <v>-409</v>
      </c>
      <c r="Y18" s="70">
        <f>'Income Statement'!L19</f>
        <v>-530</v>
      </c>
      <c r="Z18" s="70">
        <f>'Income Statement'!O19</f>
        <v>-215</v>
      </c>
      <c r="AA18" s="298">
        <f>'Income Statement'!R19</f>
        <v>-176</v>
      </c>
    </row>
    <row r="19" spans="2:27" x14ac:dyDescent="0.2">
      <c r="B19" s="334" t="s">
        <v>148</v>
      </c>
      <c r="C19" s="19" t="e">
        <f>C16+C17-C18</f>
        <v>#DIV/0!</v>
      </c>
      <c r="D19" s="319">
        <f t="shared" ref="D19:H19" si="12">D16+D17-D18</f>
        <v>26.906687639384671</v>
      </c>
      <c r="E19" s="319">
        <f t="shared" si="12"/>
        <v>31.078243083424411</v>
      </c>
      <c r="F19" s="319">
        <f t="shared" si="12"/>
        <v>31.082634902165324</v>
      </c>
      <c r="G19" s="319">
        <f t="shared" si="12"/>
        <v>45.313827696905975</v>
      </c>
      <c r="H19" s="320">
        <f t="shared" si="12"/>
        <v>48.254851244008464</v>
      </c>
      <c r="L19" s="254" t="str">
        <f>'Balance Sheet'!B20</f>
        <v>Total non-current liabilities</v>
      </c>
      <c r="M19" s="208">
        <f>'Balance Sheet'!C20</f>
        <v>0</v>
      </c>
      <c r="N19" s="260">
        <f>'Balance Sheet'!D20</f>
        <v>19543</v>
      </c>
      <c r="O19" s="260">
        <f>'Balance Sheet'!G20</f>
        <v>15094</v>
      </c>
      <c r="P19" s="260">
        <f>'Balance Sheet'!J20</f>
        <v>15221</v>
      </c>
      <c r="Q19" s="260">
        <f>'Balance Sheet'!M20</f>
        <v>11454</v>
      </c>
      <c r="R19" s="277">
        <f>'Balance Sheet'!P20</f>
        <v>12216</v>
      </c>
      <c r="U19" s="107" t="s">
        <v>81</v>
      </c>
      <c r="V19" s="72">
        <f>'Income Statement'!C20</f>
        <v>0</v>
      </c>
      <c r="W19" s="72">
        <f>'Income Statement'!F20</f>
        <v>6180</v>
      </c>
      <c r="X19" s="72">
        <f>'Income Statement'!I20</f>
        <v>6040</v>
      </c>
      <c r="Y19" s="72">
        <f>'Income Statement'!L20</f>
        <v>5403</v>
      </c>
      <c r="Z19" s="72">
        <f>'Income Statement'!O20</f>
        <v>4718</v>
      </c>
      <c r="AA19" s="299">
        <f>'Income Statement'!R20</f>
        <v>4155</v>
      </c>
    </row>
    <row r="20" spans="2:27" x14ac:dyDescent="0.2">
      <c r="B20" s="335" t="s">
        <v>149</v>
      </c>
      <c r="C20" s="309"/>
      <c r="D20" s="310"/>
      <c r="E20" s="310"/>
      <c r="F20" s="310"/>
      <c r="G20" s="310"/>
      <c r="H20" s="311"/>
      <c r="L20" s="253" t="str">
        <f>'Balance Sheet'!B21</f>
        <v>Accounts payable</v>
      </c>
      <c r="M20" s="207">
        <f>'Balance Sheet'!C21</f>
        <v>0</v>
      </c>
      <c r="N20" s="259">
        <f>'Balance Sheet'!D21</f>
        <v>9327</v>
      </c>
      <c r="O20" s="259">
        <f>'Balance Sheet'!G21</f>
        <v>8893</v>
      </c>
      <c r="P20" s="259">
        <f>'Balance Sheet'!J21</f>
        <v>7596</v>
      </c>
      <c r="Q20" s="259">
        <f>'Balance Sheet'!M21</f>
        <v>6254</v>
      </c>
      <c r="R20" s="276">
        <f>'Balance Sheet'!P21</f>
        <v>5715</v>
      </c>
      <c r="U20" s="105" t="s">
        <v>82</v>
      </c>
      <c r="V20" s="66">
        <f>'Income Statement'!C21</f>
        <v>0</v>
      </c>
      <c r="W20" s="66">
        <f>'Income Statement'!F21</f>
        <v>-1455</v>
      </c>
      <c r="X20" s="66">
        <f>'Income Statement'!I21</f>
        <v>-1398</v>
      </c>
      <c r="Y20" s="66">
        <f>'Income Statement'!L21</f>
        <v>-1285</v>
      </c>
      <c r="Z20" s="66">
        <f>'Income Statement'!O21</f>
        <v>-1211</v>
      </c>
      <c r="AA20" s="295">
        <f>'Income Statement'!R21</f>
        <v>-966</v>
      </c>
    </row>
    <row r="21" spans="2:27" x14ac:dyDescent="0.2">
      <c r="B21" s="334" t="s">
        <v>150</v>
      </c>
      <c r="C21" s="319" t="e">
        <f t="shared" ref="C21:H21" si="13">V2/M3</f>
        <v>#DIV/0!</v>
      </c>
      <c r="D21" s="267">
        <f t="shared" si="13"/>
        <v>7.3256704980842908</v>
      </c>
      <c r="E21" s="267">
        <f t="shared" si="13"/>
        <v>7.8118345618345622</v>
      </c>
      <c r="F21" s="267">
        <f t="shared" si="13"/>
        <v>8.529817058683772</v>
      </c>
      <c r="G21" s="267">
        <f t="shared" si="13"/>
        <v>8.6851334180432023</v>
      </c>
      <c r="H21" s="315">
        <f t="shared" si="13"/>
        <v>7.5548876110820702</v>
      </c>
      <c r="L21" s="256" t="str">
        <f>'Balance Sheet'!B22</f>
        <v>Bank overdraft</v>
      </c>
      <c r="M21" s="207">
        <f>'Balance Sheet'!C22</f>
        <v>0</v>
      </c>
      <c r="N21" s="259">
        <f>'Balance Sheet'!D22</f>
        <v>0</v>
      </c>
      <c r="O21" s="259">
        <f>'Balance Sheet'!G22</f>
        <v>0</v>
      </c>
      <c r="P21" s="259">
        <f>'Balance Sheet'!J22</f>
        <v>0</v>
      </c>
      <c r="Q21" s="259">
        <f>'Balance Sheet'!M22</f>
        <v>0</v>
      </c>
      <c r="R21" s="276">
        <f>'Balance Sheet'!P22</f>
        <v>0</v>
      </c>
      <c r="U21" s="105" t="s">
        <v>83</v>
      </c>
      <c r="V21" s="66">
        <f>'Income Statement'!C22</f>
        <v>0</v>
      </c>
      <c r="W21" s="66">
        <f>'Income Statement'!F22</f>
        <v>14</v>
      </c>
      <c r="X21" s="66">
        <f>'Income Statement'!I22</f>
        <v>17</v>
      </c>
      <c r="Y21" s="66">
        <f>'Income Statement'!L22</f>
        <v>51</v>
      </c>
      <c r="Z21" s="66">
        <f>'Income Statement'!O22</f>
        <v>29</v>
      </c>
      <c r="AA21" s="295">
        <f>'Income Statement'!R22</f>
        <v>84</v>
      </c>
    </row>
    <row r="22" spans="2:27" x14ac:dyDescent="0.2">
      <c r="B22" s="335" t="s">
        <v>169</v>
      </c>
      <c r="C22" s="309"/>
      <c r="D22" s="310"/>
      <c r="E22" s="310"/>
      <c r="F22" s="310"/>
      <c r="G22" s="310"/>
      <c r="H22" s="311"/>
      <c r="L22" s="253" t="str">
        <f>'Balance Sheet'!B23</f>
        <v>Borrowings &amp; similar liabilities</v>
      </c>
      <c r="M22" s="207">
        <f>'Balance Sheet'!C23</f>
        <v>0</v>
      </c>
      <c r="N22" s="259">
        <f>'Balance Sheet'!D23</f>
        <v>2859</v>
      </c>
      <c r="O22" s="259">
        <f>'Balance Sheet'!G23</f>
        <v>3921</v>
      </c>
      <c r="P22" s="259">
        <f>'Balance Sheet'!J23</f>
        <v>2341</v>
      </c>
      <c r="Q22" s="259">
        <f>'Balance Sheet'!M23</f>
        <v>3133</v>
      </c>
      <c r="R22" s="276">
        <f>'Balance Sheet'!P23</f>
        <v>2195</v>
      </c>
      <c r="U22" s="105" t="s">
        <v>84</v>
      </c>
      <c r="V22" s="66">
        <f>'Income Statement'!C23</f>
        <v>0</v>
      </c>
      <c r="W22" s="66">
        <f>'Income Statement'!F23</f>
        <v>-388</v>
      </c>
      <c r="X22" s="66">
        <f>'Income Statement'!I23</f>
        <v>-220</v>
      </c>
      <c r="Y22" s="66" t="str">
        <f>'Income Statement'!L23</f>
        <v>-</v>
      </c>
      <c r="Z22" s="66" t="str">
        <f>'Income Statement'!O23</f>
        <v>-</v>
      </c>
      <c r="AA22" s="295" t="str">
        <f>'Income Statement'!R23</f>
        <v>-</v>
      </c>
    </row>
    <row r="23" spans="2:27" ht="16" thickBot="1" x14ac:dyDescent="0.25">
      <c r="B23" s="334" t="s">
        <v>156</v>
      </c>
      <c r="C23" s="280" t="e">
        <f t="shared" ref="C23:H23" si="14">M10/M24</f>
        <v>#DIV/0!</v>
      </c>
      <c r="D23" s="280">
        <f t="shared" si="14"/>
        <v>1.1908570193450774</v>
      </c>
      <c r="E23" s="280">
        <f t="shared" si="14"/>
        <v>1.2260207471000051</v>
      </c>
      <c r="F23" s="280">
        <f t="shared" si="14"/>
        <v>1.2049061175045428</v>
      </c>
      <c r="G23" s="280">
        <f t="shared" si="14"/>
        <v>0.90979827089337173</v>
      </c>
      <c r="H23" s="321">
        <f t="shared" si="14"/>
        <v>1.0845169455772747</v>
      </c>
      <c r="L23" s="253" t="str">
        <f>'Balance Sheet'!B24</f>
        <v>Other current liabilities</v>
      </c>
      <c r="M23" s="207">
        <f>'Balance Sheet'!C24</f>
        <v>0</v>
      </c>
      <c r="N23" s="259">
        <f>'Balance Sheet'!D24</f>
        <v>6320</v>
      </c>
      <c r="O23" s="259">
        <f>'Balance Sheet'!G24</f>
        <v>6755</v>
      </c>
      <c r="P23" s="259">
        <f>'Balance Sheet'!J24</f>
        <v>6573</v>
      </c>
      <c r="Q23" s="259">
        <f>'Balance Sheet'!M24</f>
        <v>11433</v>
      </c>
      <c r="R23" s="276">
        <f>'Balance Sheet'!P24</f>
        <v>6312</v>
      </c>
      <c r="U23" s="111" t="s">
        <v>85</v>
      </c>
      <c r="V23" s="74">
        <f>'Income Statement'!C24</f>
        <v>0</v>
      </c>
      <c r="W23" s="74">
        <f>'Income Statement'!F24</f>
        <v>4351</v>
      </c>
      <c r="X23" s="74">
        <f>'Income Statement'!I24</f>
        <v>4439</v>
      </c>
      <c r="Y23" s="74">
        <f>'Income Statement'!L24</f>
        <v>4169</v>
      </c>
      <c r="Z23" s="74">
        <f>'Income Statement'!O24</f>
        <v>3536</v>
      </c>
      <c r="AA23" s="300">
        <f>'Income Statement'!R24</f>
        <v>3273</v>
      </c>
    </row>
    <row r="24" spans="2:27" ht="16" thickTop="1" x14ac:dyDescent="0.2">
      <c r="B24" s="334" t="s">
        <v>157</v>
      </c>
      <c r="C24" s="280" t="e">
        <f>(M10-M6)/M24</f>
        <v>#DIV/0!</v>
      </c>
      <c r="D24" s="280">
        <f t="shared" ref="D24:H24" si="15">(N10-N6)/N24</f>
        <v>0.90078893331892362</v>
      </c>
      <c r="E24" s="280">
        <f t="shared" si="15"/>
        <v>0.94951198323879604</v>
      </c>
      <c r="F24" s="280">
        <f t="shared" si="15"/>
        <v>0.93119321623258633</v>
      </c>
      <c r="G24" s="280">
        <f t="shared" si="15"/>
        <v>0.70105667627281465</v>
      </c>
      <c r="H24" s="321">
        <f t="shared" si="15"/>
        <v>0.80530164533820836</v>
      </c>
      <c r="L24" s="254" t="str">
        <f>'Balance Sheet'!B25</f>
        <v>Total current liabilities</v>
      </c>
      <c r="M24" s="208">
        <f>'Balance Sheet'!C25</f>
        <v>0</v>
      </c>
      <c r="N24" s="260">
        <f>'Balance Sheet'!D25</f>
        <v>18506</v>
      </c>
      <c r="O24" s="260">
        <f>'Balance Sheet'!G25</f>
        <v>19569</v>
      </c>
      <c r="P24" s="260">
        <f>'Balance Sheet'!J25</f>
        <v>16510</v>
      </c>
      <c r="Q24" s="260">
        <f>'Balance Sheet'!M25</f>
        <v>20820</v>
      </c>
      <c r="R24" s="277">
        <f>'Balance Sheet'!P25</f>
        <v>14222</v>
      </c>
      <c r="U24" s="105" t="s">
        <v>86</v>
      </c>
      <c r="V24" s="77">
        <f>'Income Statement'!C25</f>
        <v>0</v>
      </c>
      <c r="W24" s="77">
        <f>'Income Statement'!F25</f>
        <v>4163</v>
      </c>
      <c r="X24" s="77">
        <f>'Income Statement'!I25</f>
        <v>4269</v>
      </c>
      <c r="Y24" s="77">
        <f>'Income Statement'!L25</f>
        <v>4003</v>
      </c>
      <c r="Z24" s="77">
        <f>'Income Statement'!O25</f>
        <v>3477</v>
      </c>
      <c r="AA24" s="301">
        <f>'Income Statement'!R25</f>
        <v>3204</v>
      </c>
    </row>
    <row r="25" spans="2:27" ht="16" thickBot="1" x14ac:dyDescent="0.25">
      <c r="B25" s="334" t="s">
        <v>158</v>
      </c>
      <c r="C25" s="280" t="e">
        <f>M9/M24</f>
        <v>#DIV/0!</v>
      </c>
      <c r="D25" s="280">
        <f t="shared" ref="D25:H25" si="16">N9/N24</f>
        <v>0.25040527396520046</v>
      </c>
      <c r="E25" s="280">
        <f t="shared" si="16"/>
        <v>0.35193418161377688</v>
      </c>
      <c r="F25" s="280">
        <f t="shared" si="16"/>
        <v>0.28443367655966079</v>
      </c>
      <c r="G25" s="280">
        <f t="shared" si="16"/>
        <v>0.23664745437079732</v>
      </c>
      <c r="H25" s="321">
        <f t="shared" si="16"/>
        <v>0.18436225566024469</v>
      </c>
      <c r="L25" s="257" t="str">
        <f>'Balance Sheet'!B26</f>
        <v>Total equity and liabilities</v>
      </c>
      <c r="M25" s="209">
        <f>'Balance Sheet'!C26</f>
        <v>0</v>
      </c>
      <c r="N25" s="261">
        <f>'Balance Sheet'!D26</f>
        <v>62504</v>
      </c>
      <c r="O25" s="261">
        <f>'Balance Sheet'!G26</f>
        <v>65943</v>
      </c>
      <c r="P25" s="261">
        <f>'Balance Sheet'!J26</f>
        <v>58899</v>
      </c>
      <c r="Q25" s="261">
        <f>'Balance Sheet'!M26</f>
        <v>58368</v>
      </c>
      <c r="R25" s="278">
        <f>'Balance Sheet'!P26</f>
        <v>54547</v>
      </c>
      <c r="U25" s="105" t="s">
        <v>87</v>
      </c>
      <c r="V25" s="79">
        <f>'Income Statement'!C26</f>
        <v>0</v>
      </c>
      <c r="W25" s="79">
        <f>'Income Statement'!F26</f>
        <v>188</v>
      </c>
      <c r="X25" s="79">
        <f>'Income Statement'!I26</f>
        <v>170</v>
      </c>
      <c r="Y25" s="79">
        <f>'Income Statement'!L26</f>
        <v>166</v>
      </c>
      <c r="Z25" s="79">
        <f>'Income Statement'!O26</f>
        <v>59</v>
      </c>
      <c r="AA25" s="302">
        <f>'Income Statement'!R26</f>
        <v>69</v>
      </c>
    </row>
    <row r="26" spans="2:27" x14ac:dyDescent="0.2">
      <c r="B26" s="335" t="s">
        <v>159</v>
      </c>
      <c r="C26" s="309"/>
      <c r="D26" s="310"/>
      <c r="E26" s="310"/>
      <c r="F26" s="310"/>
      <c r="G26" s="310"/>
      <c r="H26" s="311"/>
      <c r="U26" s="105" t="s">
        <v>88</v>
      </c>
      <c r="V26" s="81">
        <f>'Income Statement'!C27</f>
        <v>0</v>
      </c>
      <c r="W26" s="81">
        <f>'Income Statement'!F27</f>
        <v>7.41</v>
      </c>
      <c r="X26" s="81">
        <f>'Income Statement'!I27</f>
        <v>7.61</v>
      </c>
      <c r="Y26" s="81">
        <f>'Income Statement'!L27</f>
        <v>7.15</v>
      </c>
      <c r="Z26" s="81">
        <f>'Income Statement'!O27</f>
        <v>6.23</v>
      </c>
      <c r="AA26" s="303">
        <f>'Income Statement'!R27</f>
        <v>5.76</v>
      </c>
    </row>
    <row r="27" spans="2:27" ht="16" thickBot="1" x14ac:dyDescent="0.25">
      <c r="B27" s="334" t="s">
        <v>160</v>
      </c>
      <c r="C27" s="280" t="e">
        <f>(M17+M22)/M16</f>
        <v>#DIV/0!</v>
      </c>
      <c r="D27" s="280">
        <f t="shared" ref="D27:H27" si="17">(N17+N22)/N16</f>
        <v>0.73113882641586592</v>
      </c>
      <c r="E27" s="280">
        <f t="shared" si="17"/>
        <v>0.4741368286445013</v>
      </c>
      <c r="F27" s="280">
        <f t="shared" si="17"/>
        <v>0.51284599528857477</v>
      </c>
      <c r="G27" s="280">
        <f t="shared" si="17"/>
        <v>0.40097340384762781</v>
      </c>
      <c r="H27" s="321">
        <f t="shared" si="17"/>
        <v>0.34682841794443059</v>
      </c>
      <c r="U27" s="115" t="s">
        <v>89</v>
      </c>
      <c r="V27" s="116">
        <f>'Income Statement'!C28</f>
        <v>0</v>
      </c>
      <c r="W27" s="116">
        <f>'Income Statement'!F28</f>
        <v>7.33</v>
      </c>
      <c r="X27" s="116">
        <f>'Income Statement'!I28</f>
        <v>7.53</v>
      </c>
      <c r="Y27" s="116">
        <f>'Income Statement'!L28</f>
        <v>7.07</v>
      </c>
      <c r="Z27" s="116">
        <f>'Income Statement'!O28</f>
        <v>6.15</v>
      </c>
      <c r="AA27" s="304">
        <f>'Income Statement'!R28</f>
        <v>5.67</v>
      </c>
    </row>
    <row r="28" spans="2:27" ht="16" thickBot="1" x14ac:dyDescent="0.25">
      <c r="B28" s="334" t="s">
        <v>161</v>
      </c>
      <c r="C28" s="280" t="e">
        <f>(M17+M22)/M11</f>
        <v>#DIV/0!</v>
      </c>
      <c r="D28" s="280">
        <f t="shared" ref="D28:H28" si="18">(N17+N22)/N11</f>
        <v>0.28606169205170867</v>
      </c>
      <c r="E28" s="280">
        <f t="shared" si="18"/>
        <v>0.22490635852175364</v>
      </c>
      <c r="F28" s="280">
        <f t="shared" si="18"/>
        <v>0.23655749673169324</v>
      </c>
      <c r="G28" s="280">
        <f t="shared" si="18"/>
        <v>0.17925918311403508</v>
      </c>
      <c r="H28" s="321">
        <f t="shared" si="18"/>
        <v>0.17872660274625551</v>
      </c>
    </row>
    <row r="29" spans="2:27" ht="16" thickBot="1" x14ac:dyDescent="0.25">
      <c r="B29" s="334" t="s">
        <v>162</v>
      </c>
      <c r="C29" s="267" t="e">
        <f t="shared" ref="C29:H29" si="19">V13/ABS(V15)</f>
        <v>#DIV/0!</v>
      </c>
      <c r="D29" s="267">
        <f t="shared" si="19"/>
        <v>14.162790697674419</v>
      </c>
      <c r="E29" s="267">
        <f t="shared" si="19"/>
        <v>14.825287356321839</v>
      </c>
      <c r="F29" s="267">
        <f t="shared" si="19"/>
        <v>15.330749354005167</v>
      </c>
      <c r="G29" s="267">
        <f t="shared" si="19"/>
        <v>37.946153846153848</v>
      </c>
      <c r="H29" s="315">
        <f t="shared" si="19"/>
        <v>43.747474747474747</v>
      </c>
      <c r="U29" s="360" t="s">
        <v>210</v>
      </c>
      <c r="V29" s="361" t="e">
        <f>-V20/V19</f>
        <v>#DIV/0!</v>
      </c>
      <c r="W29" s="361">
        <f>-W20/W19</f>
        <v>0.2354368932038835</v>
      </c>
      <c r="X29" s="361">
        <f t="shared" ref="X29:AA29" si="20">-X20/X19</f>
        <v>0.23145695364238411</v>
      </c>
      <c r="Y29" s="361">
        <f t="shared" si="20"/>
        <v>0.23783083472145106</v>
      </c>
      <c r="Z29" s="361">
        <f t="shared" si="20"/>
        <v>0.25667655786350146</v>
      </c>
      <c r="AA29" s="362">
        <f t="shared" si="20"/>
        <v>0.23249097472924188</v>
      </c>
    </row>
    <row r="30" spans="2:27" x14ac:dyDescent="0.2">
      <c r="B30" s="334" t="s">
        <v>215</v>
      </c>
      <c r="C30" s="267" t="e">
        <f>(M19+M21-M9)/V10</f>
        <v>#DIV/0!</v>
      </c>
      <c r="D30" s="267">
        <f t="shared" ref="D30:H30" si="21">(N19+N21-N9)/W10</f>
        <v>2.0834264952487422</v>
      </c>
      <c r="E30" s="267">
        <f t="shared" si="21"/>
        <v>1.1972283005105762</v>
      </c>
      <c r="F30" s="267">
        <f t="shared" si="21"/>
        <v>1.6540939808266542</v>
      </c>
      <c r="G30" s="267">
        <f t="shared" si="21"/>
        <v>1.2184058241553108</v>
      </c>
      <c r="H30" s="315">
        <f t="shared" si="21"/>
        <v>2.0236237080784645</v>
      </c>
    </row>
    <row r="31" spans="2:27" x14ac:dyDescent="0.2">
      <c r="B31" s="335" t="s">
        <v>163</v>
      </c>
      <c r="C31" s="309"/>
      <c r="D31" s="310"/>
      <c r="E31" s="310"/>
      <c r="F31" s="310"/>
      <c r="G31" s="310"/>
      <c r="H31" s="311"/>
      <c r="L31" s="283" t="s">
        <v>205</v>
      </c>
      <c r="M31" s="1">
        <v>2026</v>
      </c>
      <c r="N31" s="281">
        <v>2025</v>
      </c>
      <c r="O31" s="281">
        <v>2024</v>
      </c>
      <c r="P31" s="281">
        <v>2023</v>
      </c>
      <c r="Q31" s="281">
        <v>2022</v>
      </c>
      <c r="R31" s="282">
        <v>2021</v>
      </c>
    </row>
    <row r="32" spans="2:27" x14ac:dyDescent="0.2">
      <c r="B32" s="334" t="s">
        <v>170</v>
      </c>
      <c r="C32" s="306" t="e">
        <f t="shared" ref="C32:H32" si="22">C43/V24</f>
        <v>#DIV/0!</v>
      </c>
      <c r="D32" s="306">
        <f t="shared" si="22"/>
        <v>0.5263031467691569</v>
      </c>
      <c r="E32" s="306">
        <f t="shared" si="22"/>
        <v>0.45982665729679084</v>
      </c>
      <c r="F32" s="306">
        <f t="shared" si="22"/>
        <v>0.44141893579815139</v>
      </c>
      <c r="G32" s="306">
        <f t="shared" si="22"/>
        <v>0.46534368708656887</v>
      </c>
      <c r="H32" s="312">
        <f t="shared" si="22"/>
        <v>0.45162297128589263</v>
      </c>
      <c r="L32" s="344" t="str">
        <f>'Cash Flow Statement'!B2</f>
        <v>Net income</v>
      </c>
      <c r="M32" s="305">
        <f>'Cash Flow Statement'!C2</f>
        <v>0</v>
      </c>
      <c r="N32" s="345">
        <f>'Cash Flow Statement'!E2</f>
        <v>4351</v>
      </c>
      <c r="O32" s="345">
        <f>'Cash Flow Statement'!G2</f>
        <v>4439</v>
      </c>
      <c r="P32" s="345">
        <f>'Cash Flow Statement'!I2</f>
        <v>4169</v>
      </c>
      <c r="Q32" s="345">
        <f>'Cash Flow Statement'!K2</f>
        <v>3536</v>
      </c>
      <c r="R32" s="346">
        <f>'Cash Flow Statement'!M2</f>
        <v>3273</v>
      </c>
    </row>
    <row r="33" spans="2:18" x14ac:dyDescent="0.2">
      <c r="B33" s="334" t="s">
        <v>171</v>
      </c>
      <c r="C33" s="306" t="e">
        <f t="shared" ref="C33:H33" si="23">C43/C41/C42</f>
        <v>#DIV/0!</v>
      </c>
      <c r="D33" s="306">
        <f t="shared" si="23"/>
        <v>1.6602410887864846E-2</v>
      </c>
      <c r="E33" s="306">
        <f t="shared" si="23"/>
        <v>1.4525864931625481E-2</v>
      </c>
      <c r="F33" s="306">
        <f t="shared" si="23"/>
        <v>1.7362445763872716E-2</v>
      </c>
      <c r="G33" s="306">
        <f t="shared" si="23"/>
        <v>2.2177870031742077E-2</v>
      </c>
      <c r="H33" s="312">
        <f t="shared" si="23"/>
        <v>1.5083777772276132E-2</v>
      </c>
      <c r="L33" s="347" t="str">
        <f>'Cash Flow Statement'!B3</f>
        <v>Share of profit of equity-accounted investments</v>
      </c>
      <c r="M33" s="305">
        <f>'Cash Flow Statement'!C3</f>
        <v>0</v>
      </c>
      <c r="N33" s="305">
        <f>'Cash Flow Statement'!E3</f>
        <v>-14</v>
      </c>
      <c r="O33" s="305">
        <f>'Cash Flow Statement'!G3</f>
        <v>-17</v>
      </c>
      <c r="P33" s="305">
        <f>'Cash Flow Statement'!I3</f>
        <v>-51</v>
      </c>
      <c r="Q33" s="305">
        <f>'Cash Flow Statement'!K3</f>
        <v>-29</v>
      </c>
      <c r="R33" s="348">
        <f>'Cash Flow Statement'!M3</f>
        <v>-84</v>
      </c>
    </row>
    <row r="34" spans="2:18" x14ac:dyDescent="0.2">
      <c r="B34" s="334" t="s">
        <v>172</v>
      </c>
      <c r="C34" s="19" t="e">
        <f t="shared" ref="C34:H34" si="24">V24/C41</f>
        <v>#DIV/0!</v>
      </c>
      <c r="D34" s="322">
        <f t="shared" si="24"/>
        <v>7.410000000000001</v>
      </c>
      <c r="E34" s="322">
        <f t="shared" si="24"/>
        <v>7.6100000000000012</v>
      </c>
      <c r="F34" s="322">
        <f t="shared" si="24"/>
        <v>7.15</v>
      </c>
      <c r="G34" s="322">
        <f t="shared" si="24"/>
        <v>6.23</v>
      </c>
      <c r="H34" s="323">
        <f t="shared" si="24"/>
        <v>5.76</v>
      </c>
      <c r="L34" s="347" t="str">
        <f>'Cash Flow Statement'!B4</f>
        <v>Impairment of investments in associates and joint ventures</v>
      </c>
      <c r="M34" s="305">
        <f>'Cash Flow Statement'!C4</f>
        <v>0</v>
      </c>
      <c r="N34" s="305">
        <f>'Cash Flow Statement'!E4</f>
        <v>388</v>
      </c>
      <c r="O34" s="305">
        <f>'Cash Flow Statement'!G4</f>
        <v>220</v>
      </c>
      <c r="P34" s="305">
        <f>'Cash Flow Statement'!I4</f>
        <v>0</v>
      </c>
      <c r="Q34" s="305">
        <f>'Cash Flow Statement'!K4</f>
        <v>0</v>
      </c>
      <c r="R34" s="348">
        <f>'Cash Flow Statement'!M4</f>
        <v>0</v>
      </c>
    </row>
    <row r="35" spans="2:18" x14ac:dyDescent="0.2">
      <c r="B35" s="334" t="s">
        <v>164</v>
      </c>
      <c r="C35" s="19" t="e">
        <f t="shared" ref="C35:H35" si="25">C42/C34</f>
        <v>#DIV/0!</v>
      </c>
      <c r="D35" s="322">
        <f t="shared" si="25"/>
        <v>31.700404858299592</v>
      </c>
      <c r="E35" s="322">
        <f t="shared" si="25"/>
        <v>31.655716162943492</v>
      </c>
      <c r="F35" s="322">
        <f t="shared" si="25"/>
        <v>25.423776223776223</v>
      </c>
      <c r="G35" s="322">
        <f t="shared" si="25"/>
        <v>20.98234349919743</v>
      </c>
      <c r="H35" s="323">
        <f t="shared" si="25"/>
        <v>29.940972222222225</v>
      </c>
      <c r="L35" s="347" t="str">
        <f>'Cash Flow Statement'!B5</f>
        <v>Non-cash items:</v>
      </c>
      <c r="M35" s="305">
        <f>'Cash Flow Statement'!C5</f>
        <v>0</v>
      </c>
      <c r="N35" s="305">
        <f>'Cash Flow Statement'!E5</f>
        <v>0</v>
      </c>
      <c r="O35" s="305" t="str">
        <f>'Cash Flow Statement'!G5</f>
        <v>-</v>
      </c>
      <c r="P35" s="305">
        <f>'Cash Flow Statement'!I5</f>
        <v>743</v>
      </c>
      <c r="Q35" s="305">
        <f>'Cash Flow Statement'!K5</f>
        <v>750</v>
      </c>
      <c r="R35" s="348">
        <f>'Cash Flow Statement'!M5</f>
        <v>726</v>
      </c>
    </row>
    <row r="36" spans="2:18" x14ac:dyDescent="0.2">
      <c r="B36" s="334" t="s">
        <v>165</v>
      </c>
      <c r="C36" s="19" t="e">
        <f t="shared" ref="C36:H36" si="26">(C41*C42)/M16</f>
        <v>#DIV/0!</v>
      </c>
      <c r="D36" s="322">
        <f t="shared" si="26"/>
        <v>5.3963927795993127</v>
      </c>
      <c r="E36" s="322">
        <f t="shared" si="26"/>
        <v>4.3202766080436632</v>
      </c>
      <c r="F36" s="322">
        <f t="shared" si="26"/>
        <v>3.7460017750212096</v>
      </c>
      <c r="G36" s="322">
        <f t="shared" si="26"/>
        <v>2.7958767665635569</v>
      </c>
      <c r="H36" s="323">
        <f t="shared" si="26"/>
        <v>3.4128170692660715</v>
      </c>
      <c r="L36" s="347" t="str">
        <f>'Cash Flow Statement'!B6</f>
        <v>Depreciation of property, plant and equipment</v>
      </c>
      <c r="M36" s="305">
        <f>'Cash Flow Statement'!C6</f>
        <v>0</v>
      </c>
      <c r="N36" s="305">
        <f>'Cash Flow Statement'!E6</f>
        <v>871</v>
      </c>
      <c r="O36" s="305">
        <f>'Cash Flow Statement'!G6</f>
        <v>822</v>
      </c>
      <c r="P36" s="305">
        <f>'Cash Flow Statement'!I6</f>
        <v>717</v>
      </c>
      <c r="Q36" s="305">
        <f>'Cash Flow Statement'!K6</f>
        <v>732</v>
      </c>
      <c r="R36" s="348">
        <f>'Cash Flow Statement'!M6</f>
        <v>688</v>
      </c>
    </row>
    <row r="37" spans="2:18" x14ac:dyDescent="0.2">
      <c r="B37" s="334" t="s">
        <v>55</v>
      </c>
      <c r="C37" s="324">
        <f>(M19+M21-M9)</f>
        <v>0</v>
      </c>
      <c r="D37" s="324">
        <f t="shared" ref="D37:H37" si="27">(N19+N21-N9)</f>
        <v>14909</v>
      </c>
      <c r="E37" s="324">
        <f t="shared" si="27"/>
        <v>8207</v>
      </c>
      <c r="F37" s="324">
        <f t="shared" si="27"/>
        <v>10525</v>
      </c>
      <c r="G37" s="324">
        <f t="shared" si="27"/>
        <v>6527</v>
      </c>
      <c r="H37" s="325">
        <f t="shared" si="27"/>
        <v>9594</v>
      </c>
      <c r="L37" s="347" t="str">
        <f>'Cash Flow Statement'!B7</f>
        <v>Amortization of intangible assets</v>
      </c>
      <c r="M37" s="305">
        <f>'Cash Flow Statement'!C7</f>
        <v>0</v>
      </c>
      <c r="N37" s="305">
        <f>'Cash Flow Statement'!E7</f>
        <v>781</v>
      </c>
      <c r="O37" s="305">
        <f>'Cash Flow Statement'!G7</f>
        <v>716</v>
      </c>
      <c r="P37" s="305">
        <f>'Cash Flow Statement'!I7</f>
        <v>60</v>
      </c>
      <c r="Q37" s="305">
        <f>'Cash Flow Statement'!K7</f>
        <v>61</v>
      </c>
      <c r="R37" s="348">
        <f>'Cash Flow Statement'!M7</f>
        <v>34</v>
      </c>
    </row>
    <row r="38" spans="2:18" x14ac:dyDescent="0.2">
      <c r="B38" s="334" t="s">
        <v>173</v>
      </c>
      <c r="C38" s="19" t="e">
        <f t="shared" ref="C38:H38" si="28">(C41*C42)+C37</f>
        <v>#DIV/0!</v>
      </c>
      <c r="D38" s="324">
        <f t="shared" si="28"/>
        <v>146877.7854251012</v>
      </c>
      <c r="E38" s="324">
        <f t="shared" si="28"/>
        <v>143345.25229960578</v>
      </c>
      <c r="F38" s="324">
        <f t="shared" si="28"/>
        <v>112296.37622377623</v>
      </c>
      <c r="G38" s="324">
        <f t="shared" si="28"/>
        <v>79482.608346709458</v>
      </c>
      <c r="H38" s="325">
        <f t="shared" si="28"/>
        <v>105524.875</v>
      </c>
      <c r="L38" s="347" t="str">
        <f>'Cash Flow Statement'!B8</f>
        <v>Depreciation of non-current assets</v>
      </c>
      <c r="M38" s="305">
        <f>'Cash Flow Statement'!C8</f>
        <v>0</v>
      </c>
      <c r="N38" s="305">
        <f>'Cash Flow Statement'!E8</f>
        <v>53</v>
      </c>
      <c r="O38" s="305">
        <f>'Cash Flow Statement'!G8</f>
        <v>31</v>
      </c>
      <c r="P38" s="305">
        <f>'Cash Flow Statement'!I8</f>
        <v>87</v>
      </c>
      <c r="Q38" s="305">
        <f>'Cash Flow Statement'!K8</f>
        <v>32</v>
      </c>
      <c r="R38" s="348">
        <f>'Cash Flow Statement'!M8</f>
        <v>-54</v>
      </c>
    </row>
    <row r="39" spans="2:18" x14ac:dyDescent="0.2">
      <c r="B39" s="334" t="s">
        <v>214</v>
      </c>
      <c r="C39" s="19" t="e">
        <f>C38/C12</f>
        <v>#DIV/0!</v>
      </c>
      <c r="D39" s="322">
        <f>D38/D12</f>
        <v>20.525123731847568</v>
      </c>
      <c r="E39" s="322">
        <f t="shared" ref="E39:H39" si="29">E38/E12</f>
        <v>20.911050663691579</v>
      </c>
      <c r="F39" s="322">
        <f t="shared" si="29"/>
        <v>17.648338240417448</v>
      </c>
      <c r="G39" s="322">
        <f t="shared" si="29"/>
        <v>14.837149215364843</v>
      </c>
      <c r="H39" s="323">
        <f t="shared" si="29"/>
        <v>22.257936089432608</v>
      </c>
      <c r="L39" s="347" t="str">
        <f>'Cash Flow Statement'!B9</f>
        <v>Increase/(decrease) in provisions</v>
      </c>
      <c r="M39" s="305">
        <f>'Cash Flow Statement'!C9</f>
        <v>0</v>
      </c>
      <c r="N39" s="305">
        <f>'Cash Flow Statement'!E9</f>
        <v>106</v>
      </c>
      <c r="O39" s="305">
        <f>'Cash Flow Statement'!G9</f>
        <v>93</v>
      </c>
      <c r="P39" s="305">
        <f>'Cash Flow Statement'!I9</f>
        <v>-252</v>
      </c>
      <c r="Q39" s="305">
        <f>'Cash Flow Statement'!K9</f>
        <v>70</v>
      </c>
      <c r="R39" s="348">
        <f>'Cash Flow Statement'!M9</f>
        <v>-184</v>
      </c>
    </row>
    <row r="40" spans="2:18" ht="16" thickBot="1" x14ac:dyDescent="0.25">
      <c r="B40" s="337" t="s">
        <v>174</v>
      </c>
      <c r="C40" s="19" t="e">
        <f>(V13*(1-V29))/'Balance Sheet'!Z25</f>
        <v>#DIV/0!</v>
      </c>
      <c r="D40" s="280">
        <f>(W13*(1-W29))/'Balance Sheet'!AA25</f>
        <v>0.12130375038313677</v>
      </c>
      <c r="E40" s="280">
        <f>(X13*(1-X29))/'Balance Sheet'!AC25</f>
        <v>0.11418019963970387</v>
      </c>
      <c r="F40" s="280">
        <f>(Y13*(1-Y29))/'Balance Sheet'!AE25</f>
        <v>0.11295273161806542</v>
      </c>
      <c r="G40" s="280">
        <f>(Z13*(1-Z29))/'Balance Sheet'!AG25</f>
        <v>0.10255676400009361</v>
      </c>
      <c r="H40" s="321">
        <f>(AA13*(1-AA29))/'Balance Sheet'!AI25</f>
        <v>8.3314491664936929E-2</v>
      </c>
      <c r="L40" s="347" t="str">
        <f>'Cash Flow Statement'!B10</f>
        <v>Gains/(losses) on disposals of activities and fixed assets</v>
      </c>
      <c r="M40" s="305">
        <f>'Cash Flow Statement'!C10</f>
        <v>0</v>
      </c>
      <c r="N40" s="305">
        <f>'Cash Flow Statement'!E10</f>
        <v>-25</v>
      </c>
      <c r="O40" s="305">
        <f>'Cash Flow Statement'!G10</f>
        <v>-115</v>
      </c>
      <c r="P40" s="305">
        <f>'Cash Flow Statement'!I10</f>
        <v>-164</v>
      </c>
      <c r="Q40" s="305">
        <f>'Cash Flow Statement'!K10</f>
        <v>139</v>
      </c>
      <c r="R40" s="348">
        <f>'Cash Flow Statement'!M10</f>
        <v>-38</v>
      </c>
    </row>
    <row r="41" spans="2:18" x14ac:dyDescent="0.2">
      <c r="B41" s="341" t="s">
        <v>187</v>
      </c>
      <c r="C41" s="342" t="e">
        <f t="shared" ref="C41:H41" si="30">V24/V26</f>
        <v>#DIV/0!</v>
      </c>
      <c r="D41" s="342">
        <f t="shared" si="30"/>
        <v>561.80836707152491</v>
      </c>
      <c r="E41" s="342">
        <f t="shared" si="30"/>
        <v>560.97240473061754</v>
      </c>
      <c r="F41" s="342">
        <f t="shared" si="30"/>
        <v>559.86013986013984</v>
      </c>
      <c r="G41" s="342">
        <f t="shared" si="30"/>
        <v>558.10593900481535</v>
      </c>
      <c r="H41" s="343">
        <f t="shared" si="30"/>
        <v>556.25</v>
      </c>
      <c r="L41" s="347" t="str">
        <f>'Cash Flow Statement'!B11</f>
        <v>Income tax expense</v>
      </c>
      <c r="M41" s="305">
        <f>'Cash Flow Statement'!C11</f>
        <v>0</v>
      </c>
      <c r="N41" s="305">
        <f>'Cash Flow Statement'!E11</f>
        <v>1455</v>
      </c>
      <c r="O41" s="305">
        <f>'Cash Flow Statement'!G11</f>
        <v>1398</v>
      </c>
      <c r="P41" s="305">
        <f>'Cash Flow Statement'!I11</f>
        <v>0</v>
      </c>
      <c r="Q41" s="305">
        <f>'Cash Flow Statement'!K11</f>
        <v>0</v>
      </c>
      <c r="R41" s="348">
        <f>'Cash Flow Statement'!M11</f>
        <v>0</v>
      </c>
    </row>
    <row r="42" spans="2:18" x14ac:dyDescent="0.2">
      <c r="B42" s="338" t="s">
        <v>209</v>
      </c>
      <c r="D42" s="327">
        <v>234.9</v>
      </c>
      <c r="E42" s="19">
        <v>240.9</v>
      </c>
      <c r="F42" s="19">
        <v>181.78</v>
      </c>
      <c r="G42" s="19">
        <v>130.72</v>
      </c>
      <c r="H42" s="326">
        <v>172.46</v>
      </c>
      <c r="L42" s="347" t="str">
        <f>'Cash Flow Statement'!B12</f>
        <v>Other non-cash items</v>
      </c>
      <c r="M42" s="305">
        <f>'Cash Flow Statement'!C12</f>
        <v>0</v>
      </c>
      <c r="N42" s="305">
        <f>'Cash Flow Statement'!E12</f>
        <v>200</v>
      </c>
      <c r="O42" s="305">
        <f>'Cash Flow Statement'!G12</f>
        <v>200</v>
      </c>
      <c r="P42" s="305">
        <f>'Cash Flow Statement'!I12</f>
        <v>220</v>
      </c>
      <c r="Q42" s="305">
        <f>'Cash Flow Statement'!K12</f>
        <v>102</v>
      </c>
      <c r="R42" s="348">
        <f>'Cash Flow Statement'!M12</f>
        <v>108</v>
      </c>
    </row>
    <row r="43" spans="2:18" x14ac:dyDescent="0.2">
      <c r="B43" s="339" t="s">
        <v>216</v>
      </c>
      <c r="C43" s="19">
        <f t="shared" ref="C43:H43" si="31">-M67</f>
        <v>0</v>
      </c>
      <c r="D43" s="19">
        <f t="shared" si="31"/>
        <v>2191</v>
      </c>
      <c r="E43" s="19">
        <f t="shared" si="31"/>
        <v>1963</v>
      </c>
      <c r="F43" s="19">
        <f t="shared" si="31"/>
        <v>1767</v>
      </c>
      <c r="G43" s="19">
        <f t="shared" si="31"/>
        <v>1618</v>
      </c>
      <c r="H43" s="326">
        <f t="shared" si="31"/>
        <v>1447</v>
      </c>
      <c r="L43" s="347" t="str">
        <f>'Cash Flow Statement'!B13</f>
        <v>Income taxes paid, net</v>
      </c>
      <c r="M43" s="305">
        <f>'Cash Flow Statement'!C13</f>
        <v>0</v>
      </c>
      <c r="N43" s="305">
        <f>'Cash Flow Statement'!E13</f>
        <v>-1418</v>
      </c>
      <c r="O43" s="305">
        <f>'Cash Flow Statement'!G13</f>
        <v>-1479</v>
      </c>
      <c r="P43" s="305">
        <f>'Cash Flow Statement'!I13</f>
        <v>0</v>
      </c>
      <c r="Q43" s="305">
        <f>'Cash Flow Statement'!K13</f>
        <v>0</v>
      </c>
      <c r="R43" s="348">
        <f>'Cash Flow Statement'!M13</f>
        <v>0</v>
      </c>
    </row>
    <row r="44" spans="2:18" ht="16" thickBot="1" x14ac:dyDescent="0.25">
      <c r="B44" s="340" t="s">
        <v>188</v>
      </c>
      <c r="C44" s="328" t="e">
        <f>C43/C41</f>
        <v>#DIV/0!</v>
      </c>
      <c r="D44" s="329">
        <f t="shared" ref="D44:H44" si="32">D43/D41</f>
        <v>3.8999063175594526</v>
      </c>
      <c r="E44" s="329">
        <f t="shared" si="32"/>
        <v>3.4992808620285785</v>
      </c>
      <c r="F44" s="329">
        <f t="shared" si="32"/>
        <v>3.1561453909567825</v>
      </c>
      <c r="G44" s="329">
        <f t="shared" si="32"/>
        <v>2.8990911705493243</v>
      </c>
      <c r="H44" s="330">
        <f t="shared" si="32"/>
        <v>2.6013483146067418</v>
      </c>
      <c r="L44" s="347" t="str">
        <f>'Cash Flow Statement'!B14</f>
        <v>Operating cash flow</v>
      </c>
      <c r="M44" s="305">
        <f>'Cash Flow Statement'!C14</f>
        <v>0</v>
      </c>
      <c r="N44" s="305">
        <f>'Cash Flow Statement'!E14</f>
        <v>6748</v>
      </c>
      <c r="O44" s="305">
        <f>'Cash Flow Statement'!G14</f>
        <v>6308</v>
      </c>
      <c r="P44" s="305">
        <f>'Cash Flow Statement'!I14</f>
        <v>5529</v>
      </c>
      <c r="Q44" s="305">
        <f>'Cash Flow Statement'!K14</f>
        <v>5393</v>
      </c>
      <c r="R44" s="348">
        <f>'Cash Flow Statement'!M14</f>
        <v>4469</v>
      </c>
    </row>
    <row r="45" spans="2:18" x14ac:dyDescent="0.2">
      <c r="L45" s="347" t="str">
        <f>'Cash Flow Statement'!B15</f>
        <v>Decrease/(increase) in trade receivables</v>
      </c>
      <c r="M45" s="305">
        <f>'Cash Flow Statement'!C15</f>
        <v>0</v>
      </c>
      <c r="N45" s="305">
        <f>'Cash Flow Statement'!E15</f>
        <v>-301</v>
      </c>
      <c r="O45" s="305">
        <f>'Cash Flow Statement'!G15</f>
        <v>-199</v>
      </c>
      <c r="P45" s="305">
        <f>'Cash Flow Statement'!I15</f>
        <v>62</v>
      </c>
      <c r="Q45" s="305">
        <f>'Cash Flow Statement'!K15</f>
        <v>-305</v>
      </c>
      <c r="R45" s="348">
        <f>'Cash Flow Statement'!M15</f>
        <v>-577</v>
      </c>
    </row>
    <row r="46" spans="2:18" x14ac:dyDescent="0.2">
      <c r="L46" s="347" t="str">
        <f>'Cash Flow Statement'!B16</f>
        <v>Decrease/(increase) in inventories</v>
      </c>
      <c r="M46" s="305">
        <f>'Cash Flow Statement'!C16</f>
        <v>0</v>
      </c>
      <c r="N46" s="305">
        <f>'Cash Flow Statement'!E16</f>
        <v>-366</v>
      </c>
      <c r="O46" s="305">
        <f>'Cash Flow Statement'!G16</f>
        <v>-834</v>
      </c>
      <c r="P46" s="305">
        <f>'Cash Flow Statement'!I16</f>
        <v>-382</v>
      </c>
      <c r="Q46" s="305">
        <f>'Cash Flow Statement'!K16</f>
        <v>-553</v>
      </c>
      <c r="R46" s="348">
        <f>'Cash Flow Statement'!M16</f>
        <v>-955</v>
      </c>
    </row>
    <row r="47" spans="2:18" x14ac:dyDescent="0.2">
      <c r="L47" s="347" t="str">
        <f>'Cash Flow Statement'!B17</f>
        <v>(Decrease)/increase in trade payables</v>
      </c>
      <c r="M47" s="305">
        <f>'Cash Flow Statement'!C17</f>
        <v>0</v>
      </c>
      <c r="N47" s="305">
        <f>'Cash Flow Statement'!E17</f>
        <v>307</v>
      </c>
      <c r="O47" s="305">
        <f>'Cash Flow Statement'!G17</f>
        <v>439</v>
      </c>
      <c r="P47" s="305">
        <f>'Cash Flow Statement'!I17</f>
        <v>493</v>
      </c>
      <c r="Q47" s="305">
        <f>'Cash Flow Statement'!K17</f>
        <v>73</v>
      </c>
      <c r="R47" s="348">
        <f>'Cash Flow Statement'!M17</f>
        <v>418</v>
      </c>
    </row>
    <row r="48" spans="2:18" x14ac:dyDescent="0.2">
      <c r="L48" s="347" t="str">
        <f>'Cash Flow Statement'!B18</f>
        <v>Decrease/(increase) in other current assets and liabilities</v>
      </c>
      <c r="M48" s="305">
        <f>'Cash Flow Statement'!C18</f>
        <v>0</v>
      </c>
      <c r="N48" s="305">
        <f>'Cash Flow Statement'!E18</f>
        <v>-257</v>
      </c>
      <c r="O48" s="305">
        <f>'Cash Flow Statement'!G18</f>
        <v>-134</v>
      </c>
      <c r="P48" s="305">
        <f>'Cash Flow Statement'!I18</f>
        <v>205</v>
      </c>
      <c r="Q48" s="305">
        <f>'Cash Flow Statement'!K18</f>
        <v>-254</v>
      </c>
      <c r="R48" s="348">
        <f>'Cash Flow Statement'!M18</f>
        <v>261</v>
      </c>
    </row>
    <row r="49" spans="5:18" x14ac:dyDescent="0.2">
      <c r="E49" s="356"/>
      <c r="F49" s="356"/>
      <c r="G49" s="356"/>
      <c r="H49" s="356"/>
      <c r="L49" s="347" t="str">
        <f>'Cash Flow Statement'!B19</f>
        <v>Change in working capital</v>
      </c>
      <c r="M49" s="305">
        <f>'Cash Flow Statement'!C19</f>
        <v>0</v>
      </c>
      <c r="N49" s="305">
        <f>'Cash Flow Statement'!E19</f>
        <v>-617</v>
      </c>
      <c r="O49" s="305">
        <f>'Cash Flow Statement'!G19</f>
        <v>-728</v>
      </c>
      <c r="P49" s="305">
        <f>'Cash Flow Statement'!I19</f>
        <v>378</v>
      </c>
      <c r="Q49" s="305">
        <f>'Cash Flow Statement'!K19</f>
        <v>-1039</v>
      </c>
      <c r="R49" s="348">
        <f>'Cash Flow Statement'!M19</f>
        <v>-853</v>
      </c>
    </row>
    <row r="50" spans="5:18" ht="16" thickBot="1" x14ac:dyDescent="0.25">
      <c r="E50" s="365" t="s">
        <v>218</v>
      </c>
      <c r="F50" s="356"/>
      <c r="G50" s="356"/>
      <c r="H50" s="356"/>
      <c r="L50" s="349" t="str">
        <f>'Cash Flow Statement'!B20</f>
        <v>TOTAL I - CASH FROM / (USED IN) OPERATING ACTIVITIES</v>
      </c>
      <c r="M50" s="350">
        <f>'Cash Flow Statement'!C20</f>
        <v>0</v>
      </c>
      <c r="N50" s="351">
        <f>'Cash Flow Statement'!E20</f>
        <v>6131</v>
      </c>
      <c r="O50" s="351">
        <f>'Cash Flow Statement'!G20</f>
        <v>5580</v>
      </c>
      <c r="P50" s="351">
        <f>'Cash Flow Statement'!I20</f>
        <v>5907</v>
      </c>
      <c r="Q50" s="351">
        <f>'Cash Flow Statement'!K20</f>
        <v>4354</v>
      </c>
      <c r="R50" s="352">
        <f>'Cash Flow Statement'!M20</f>
        <v>3616</v>
      </c>
    </row>
    <row r="51" spans="5:18" ht="16" thickTop="1" x14ac:dyDescent="0.2">
      <c r="E51" s="356"/>
      <c r="F51" s="356"/>
      <c r="G51" s="356" t="s">
        <v>220</v>
      </c>
      <c r="H51" s="356"/>
      <c r="I51" s="358"/>
      <c r="J51" s="358"/>
      <c r="L51" s="347" t="str">
        <f>'Cash Flow Statement'!B21</f>
        <v>Acquisitions of property, plant and equipment</v>
      </c>
      <c r="M51" s="305">
        <f>'Cash Flow Statement'!C21</f>
        <v>0</v>
      </c>
      <c r="N51" s="305">
        <f>'Cash Flow Statement'!E21</f>
        <v>-1072</v>
      </c>
      <c r="O51" s="305">
        <f>'Cash Flow Statement'!G21</f>
        <v>-950</v>
      </c>
      <c r="P51" s="305">
        <f>'Cash Flow Statement'!I21</f>
        <v>-914</v>
      </c>
      <c r="Q51" s="305">
        <f>'Cash Flow Statement'!K21</f>
        <v>-707</v>
      </c>
      <c r="R51" s="348">
        <f>'Cash Flow Statement'!M21</f>
        <v>-543</v>
      </c>
    </row>
    <row r="52" spans="5:18" x14ac:dyDescent="0.2">
      <c r="L52" s="347" t="str">
        <f>'Cash Flow Statement'!B22</f>
        <v>Acquisitions of intangible assets</v>
      </c>
      <c r="M52" s="305">
        <f>'Cash Flow Statement'!C22</f>
        <v>0</v>
      </c>
      <c r="N52" s="305">
        <f>'Cash Flow Statement'!E22</f>
        <v>-471</v>
      </c>
      <c r="O52" s="305">
        <f>'Cash Flow Statement'!G22</f>
        <v>-469</v>
      </c>
      <c r="P52" s="305">
        <f>'Cash Flow Statement'!I22</f>
        <v>-451</v>
      </c>
      <c r="Q52" s="305">
        <f>'Cash Flow Statement'!K22</f>
        <v>-386</v>
      </c>
      <c r="R52" s="348">
        <f>'Cash Flow Statement'!M22</f>
        <v>-333</v>
      </c>
    </row>
    <row r="53" spans="5:18" x14ac:dyDescent="0.2">
      <c r="L53" s="347" t="str">
        <f>'Cash Flow Statement'!B23</f>
        <v>Disposals of property, plant and equipment and intangibles</v>
      </c>
      <c r="M53" s="305">
        <f>'Cash Flow Statement'!C23</f>
        <v>0</v>
      </c>
      <c r="N53" s="305">
        <f>'Cash Flow Statement'!E23</f>
        <v>47</v>
      </c>
      <c r="O53" s="305">
        <f>'Cash Flow Statement'!G23</f>
        <v>55</v>
      </c>
      <c r="P53" s="305">
        <f>'Cash Flow Statement'!I23</f>
        <v>52</v>
      </c>
      <c r="Q53" s="305">
        <f>'Cash Flow Statement'!K23</f>
        <v>69</v>
      </c>
      <c r="R53" s="348">
        <f>'Cash Flow Statement'!M23</f>
        <v>59</v>
      </c>
    </row>
    <row r="54" spans="5:18" x14ac:dyDescent="0.2">
      <c r="L54" s="347" t="str">
        <f>'Cash Flow Statement'!B24</f>
        <v>Net capital expenditure</v>
      </c>
      <c r="M54" s="305">
        <f>'Cash Flow Statement'!C24</f>
        <v>0</v>
      </c>
      <c r="N54" s="305">
        <f>'Cash Flow Statement'!E24</f>
        <v>-1496</v>
      </c>
      <c r="O54" s="305">
        <f>'Cash Flow Statement'!G24</f>
        <v>-1364</v>
      </c>
      <c r="P54" s="305">
        <f>'Cash Flow Statement'!I24</f>
        <v>-1313</v>
      </c>
      <c r="Q54" s="305">
        <f>'Cash Flow Statement'!K24</f>
        <v>-1024</v>
      </c>
      <c r="R54" s="348">
        <f>'Cash Flow Statement'!M24</f>
        <v>-817</v>
      </c>
    </row>
    <row r="55" spans="5:18" x14ac:dyDescent="0.2">
      <c r="L55" s="347" t="str">
        <f>'Cash Flow Statement'!B25</f>
        <v>Acquisitions and disposals of activities, net of cash acquired and divested</v>
      </c>
      <c r="M55" s="305">
        <f>'Cash Flow Statement'!C25</f>
        <v>0</v>
      </c>
      <c r="N55" s="305">
        <f>'Cash Flow Statement'!E25</f>
        <v>-1158</v>
      </c>
      <c r="O55" s="305">
        <f>'Cash Flow Statement'!G25</f>
        <v>-452</v>
      </c>
      <c r="P55" s="305">
        <f>'Cash Flow Statement'!I25</f>
        <v>611</v>
      </c>
      <c r="Q55" s="305">
        <f>'Cash Flow Statement'!K25</f>
        <v>-297</v>
      </c>
      <c r="R55" s="348">
        <f>'Cash Flow Statement'!M25</f>
        <v>-4231</v>
      </c>
    </row>
    <row r="56" spans="5:18" x14ac:dyDescent="0.2">
      <c r="L56" s="347" t="str">
        <f>'Cash Flow Statement'!B26</f>
        <v>Other long-term investments</v>
      </c>
      <c r="M56" s="305">
        <f>'Cash Flow Statement'!C26</f>
        <v>0</v>
      </c>
      <c r="N56" s="305">
        <f>'Cash Flow Statement'!E26</f>
        <v>-9</v>
      </c>
      <c r="O56" s="305">
        <f>'Cash Flow Statement'!G26</f>
        <v>-91</v>
      </c>
      <c r="P56" s="305">
        <f>'Cash Flow Statement'!I26</f>
        <v>-89</v>
      </c>
      <c r="Q56" s="305">
        <f>'Cash Flow Statement'!K26</f>
        <v>40</v>
      </c>
      <c r="R56" s="348">
        <f>'Cash Flow Statement'!M26</f>
        <v>16</v>
      </c>
    </row>
    <row r="57" spans="5:18" x14ac:dyDescent="0.2">
      <c r="L57" s="347" t="str">
        <f>'Cash Flow Statement'!B27</f>
        <v>Increase in long-term retirement assets</v>
      </c>
      <c r="M57" s="305">
        <f>'Cash Flow Statement'!C27</f>
        <v>0</v>
      </c>
      <c r="N57" s="305">
        <f>'Cash Flow Statement'!E27</f>
        <v>-54</v>
      </c>
      <c r="O57" s="305">
        <f>'Cash Flow Statement'!G27</f>
        <v>-80</v>
      </c>
      <c r="P57" s="305">
        <f>'Cash Flow Statement'!I27</f>
        <v>-257</v>
      </c>
      <c r="Q57" s="305">
        <f>'Cash Flow Statement'!K27</f>
        <v>-130</v>
      </c>
      <c r="R57" s="348">
        <f>'Cash Flow Statement'!M27</f>
        <v>-136</v>
      </c>
    </row>
    <row r="58" spans="5:18" x14ac:dyDescent="0.2">
      <c r="L58" s="347" t="str">
        <f>'Cash Flow Statement'!B28</f>
        <v>Sub-total</v>
      </c>
      <c r="M58" s="305">
        <f>'Cash Flow Statement'!C28</f>
        <v>0</v>
      </c>
      <c r="N58" s="305">
        <f>'Cash Flow Statement'!E28</f>
        <v>-1221</v>
      </c>
      <c r="O58" s="305">
        <f>'Cash Flow Statement'!G28</f>
        <v>-623</v>
      </c>
      <c r="P58" s="305">
        <f>'Cash Flow Statement'!I28</f>
        <v>265</v>
      </c>
      <c r="Q58" s="305">
        <f>'Cash Flow Statement'!K28</f>
        <v>-387</v>
      </c>
      <c r="R58" s="348">
        <f>'Cash Flow Statement'!M28</f>
        <v>-4351</v>
      </c>
    </row>
    <row r="59" spans="5:18" ht="16" thickBot="1" x14ac:dyDescent="0.25">
      <c r="L59" s="349" t="str">
        <f>'Cash Flow Statement'!B29</f>
        <v>TOTAL II - CASH FROM / (USED IN) INVESTING ACTIVITIES</v>
      </c>
      <c r="M59" s="353">
        <f>'Cash Flow Statement'!C29</f>
        <v>0</v>
      </c>
      <c r="N59" s="351">
        <f>'Cash Flow Statement'!E29</f>
        <v>-2717</v>
      </c>
      <c r="O59" s="351">
        <f>'Cash Flow Statement'!G29</f>
        <v>-1987</v>
      </c>
      <c r="P59" s="351">
        <f>'Cash Flow Statement'!I29</f>
        <v>-1048</v>
      </c>
      <c r="Q59" s="351">
        <f>'Cash Flow Statement'!K29</f>
        <v>-1411</v>
      </c>
      <c r="R59" s="352">
        <f>'Cash Flow Statement'!M29</f>
        <v>-5168</v>
      </c>
    </row>
    <row r="60" spans="5:18" ht="16" thickTop="1" x14ac:dyDescent="0.2">
      <c r="L60" s="347" t="str">
        <f>'Cash Flow Statement'!B30</f>
        <v>Issuance of bonds</v>
      </c>
      <c r="M60" s="305">
        <f>'Cash Flow Statement'!C30</f>
        <v>0</v>
      </c>
      <c r="N60" s="305">
        <f>'Cash Flow Statement'!E30</f>
        <v>4864</v>
      </c>
      <c r="O60" s="305">
        <f>'Cash Flow Statement'!G30</f>
        <v>3466</v>
      </c>
      <c r="P60" s="305">
        <f>'Cash Flow Statement'!I30</f>
        <v>3509</v>
      </c>
      <c r="Q60" s="305">
        <f>'Cash Flow Statement'!K30</f>
        <v>1092</v>
      </c>
      <c r="R60" s="348" t="str">
        <f>'Cash Flow Statement'!M30</f>
        <v>-</v>
      </c>
    </row>
    <row r="61" spans="5:18" x14ac:dyDescent="0.2">
      <c r="L61" s="347" t="str">
        <f>'Cash Flow Statement'!B31</f>
        <v>Repayment of bonds</v>
      </c>
      <c r="M61" s="305">
        <f>'Cash Flow Statement'!C31</f>
        <v>0</v>
      </c>
      <c r="N61" s="305">
        <f>'Cash Flow Statement'!E31</f>
        <v>-1800</v>
      </c>
      <c r="O61" s="305">
        <f>'Cash Flow Statement'!G31</f>
        <v>-1384</v>
      </c>
      <c r="P61" s="305">
        <f>'Cash Flow Statement'!I31</f>
        <v>-1299</v>
      </c>
      <c r="Q61" s="305">
        <f>'Cash Flow Statement'!K31</f>
        <v>-829</v>
      </c>
      <c r="R61" s="348">
        <f>'Cash Flow Statement'!M31</f>
        <v>-600</v>
      </c>
    </row>
    <row r="62" spans="5:18" x14ac:dyDescent="0.2">
      <c r="L62" s="347" t="str">
        <f>'Cash Flow Statement'!B32</f>
        <v>Purchase/(sale) of treasury shares</v>
      </c>
      <c r="M62" s="305">
        <f>'Cash Flow Statement'!C32</f>
        <v>0</v>
      </c>
      <c r="N62" s="305">
        <f>'Cash Flow Statement'!E32</f>
        <v>-341</v>
      </c>
      <c r="O62" s="305">
        <f>'Cash Flow Statement'!G32</f>
        <v>-322</v>
      </c>
      <c r="P62" s="305">
        <f>'Cash Flow Statement'!I32</f>
        <v>-703</v>
      </c>
      <c r="Q62" s="305">
        <f>'Cash Flow Statement'!K32</f>
        <v>-219</v>
      </c>
      <c r="R62" s="348">
        <f>'Cash Flow Statement'!M32</f>
        <v>-262</v>
      </c>
    </row>
    <row r="63" spans="5:18" x14ac:dyDescent="0.2">
      <c r="L63" s="347" t="str">
        <f>'Cash Flow Statement'!B33</f>
        <v>Increase/(decrease) in other financial liabilities and other debt</v>
      </c>
      <c r="M63" s="305">
        <f>'Cash Flow Statement'!C33</f>
        <v>0</v>
      </c>
      <c r="N63" s="305">
        <f>'Cash Flow Statement'!E33</f>
        <v>-510</v>
      </c>
      <c r="O63" s="305">
        <f>'Cash Flow Statement'!G33</f>
        <v>-1338</v>
      </c>
      <c r="P63" s="305">
        <f>'Cash Flow Statement'!I33</f>
        <v>939</v>
      </c>
      <c r="Q63" s="305">
        <f>'Cash Flow Statement'!K33</f>
        <v>143</v>
      </c>
      <c r="R63" s="348">
        <f>'Cash Flow Statement'!M33</f>
        <v>-444</v>
      </c>
    </row>
    <row r="64" spans="5:18" x14ac:dyDescent="0.2">
      <c r="L64" s="347" t="str">
        <f>'Cash Flow Statement'!B34</f>
        <v>Issuance and repurchase of OCEANEs (equity component)</v>
      </c>
      <c r="M64" s="305">
        <f>'Cash Flow Statement'!C34</f>
        <v>0</v>
      </c>
      <c r="N64" s="305">
        <f>'Cash Flow Statement'!E34</f>
        <v>109</v>
      </c>
      <c r="O64" s="305">
        <f>'Cash Flow Statement'!G34</f>
        <v>-66</v>
      </c>
      <c r="P64" s="305" t="str">
        <f>'Cash Flow Statement'!I34</f>
        <v>-</v>
      </c>
      <c r="Q64" s="305" t="str">
        <f>'Cash Flow Statement'!K34</f>
        <v>-</v>
      </c>
      <c r="R64" s="348" t="str">
        <f>'Cash Flow Statement'!M34</f>
        <v>-</v>
      </c>
    </row>
    <row r="65" spans="12:18" x14ac:dyDescent="0.2">
      <c r="L65" s="347" t="str">
        <f>'Cash Flow Statement'!B35</f>
        <v>Increase/(reduction) of share capital in cash</v>
      </c>
      <c r="M65" s="305">
        <f>'Cash Flow Statement'!C35</f>
        <v>0</v>
      </c>
      <c r="N65" s="305">
        <f>'Cash Flow Statement'!E35</f>
        <v>271</v>
      </c>
      <c r="O65" s="305">
        <f>'Cash Flow Statement'!G35</f>
        <v>252</v>
      </c>
      <c r="P65" s="305">
        <f>'Cash Flow Statement'!I35</f>
        <v>284</v>
      </c>
      <c r="Q65" s="305">
        <f>'Cash Flow Statement'!K35</f>
        <v>208</v>
      </c>
      <c r="R65" s="348">
        <f>'Cash Flow Statement'!M35</f>
        <v>216</v>
      </c>
    </row>
    <row r="66" spans="12:18" x14ac:dyDescent="0.2">
      <c r="L66" s="347" t="str">
        <f>'Cash Flow Statement'!B36</f>
        <v>Transactions with non-controlling interests</v>
      </c>
      <c r="M66" s="305">
        <f>'Cash Flow Statement'!C36</f>
        <v>0</v>
      </c>
      <c r="N66" s="305">
        <f>'Cash Flow Statement'!E36</f>
        <v>-5535</v>
      </c>
      <c r="O66" s="305">
        <f>'Cash Flow Statement'!G36</f>
        <v>-183</v>
      </c>
      <c r="P66" s="305">
        <f>'Cash Flow Statement'!I36</f>
        <v>-4702</v>
      </c>
      <c r="Q66" s="305">
        <f>'Cash Flow Statement'!K36</f>
        <v>-73</v>
      </c>
      <c r="R66" s="348">
        <f>'Cash Flow Statement'!M36</f>
        <v>-418</v>
      </c>
    </row>
    <row r="67" spans="12:18" x14ac:dyDescent="0.2">
      <c r="L67" s="347" t="str">
        <f>'Cash Flow Statement'!B37</f>
        <v>Dividends paid to Schneider Electric shareholders</v>
      </c>
      <c r="M67" s="305">
        <f>'Cash Flow Statement'!C37</f>
        <v>0</v>
      </c>
      <c r="N67" s="305">
        <f>'Cash Flow Statement'!E37</f>
        <v>-2191</v>
      </c>
      <c r="O67" s="305">
        <f>'Cash Flow Statement'!G37</f>
        <v>-1963</v>
      </c>
      <c r="P67" s="305">
        <f>'Cash Flow Statement'!I37</f>
        <v>-1767</v>
      </c>
      <c r="Q67" s="305">
        <f>'Cash Flow Statement'!K37</f>
        <v>-1618</v>
      </c>
      <c r="R67" s="348">
        <f>'Cash Flow Statement'!M37</f>
        <v>-1447</v>
      </c>
    </row>
    <row r="68" spans="12:18" x14ac:dyDescent="0.2">
      <c r="L68" s="347" t="str">
        <f>'Cash Flow Statement'!B38</f>
        <v>Dividends paid to minority shareholders</v>
      </c>
      <c r="M68" s="305">
        <f>'Cash Flow Statement'!C38</f>
        <v>0</v>
      </c>
      <c r="N68" s="305">
        <f>'Cash Flow Statement'!E38</f>
        <v>-96</v>
      </c>
      <c r="O68" s="305">
        <f>'Cash Flow Statement'!G38</f>
        <v>-86</v>
      </c>
      <c r="P68" s="305">
        <f>'Cash Flow Statement'!I38</f>
        <v>-84</v>
      </c>
      <c r="Q68" s="305">
        <f>'Cash Flow Statement'!K38</f>
        <v>-157</v>
      </c>
      <c r="R68" s="348">
        <f>'Cash Flow Statement'!M38</f>
        <v>-138</v>
      </c>
    </row>
    <row r="69" spans="12:18" x14ac:dyDescent="0.2">
      <c r="L69" s="344" t="str">
        <f>'Cash Flow Statement'!B39</f>
        <v>TOTAL III - CASH FROM / (USED IN) FINANCING ACTIVITIES</v>
      </c>
      <c r="M69" s="305">
        <f>'Cash Flow Statement'!C39</f>
        <v>0</v>
      </c>
      <c r="N69" s="345">
        <f>'Cash Flow Statement'!E39</f>
        <v>-5229</v>
      </c>
      <c r="O69" s="345">
        <f>'Cash Flow Statement'!G39</f>
        <v>-1624</v>
      </c>
      <c r="P69" s="345">
        <f>'Cash Flow Statement'!I39</f>
        <v>-3823</v>
      </c>
      <c r="Q69" s="345">
        <f>'Cash Flow Statement'!K39</f>
        <v>-1453</v>
      </c>
      <c r="R69" s="346">
        <f>'Cash Flow Statement'!M39</f>
        <v>-3093</v>
      </c>
    </row>
    <row r="70" spans="12:18" x14ac:dyDescent="0.2">
      <c r="L70" s="344" t="str">
        <f>'Cash Flow Statement'!B40</f>
        <v>TOTAL IV - NET EFFECT OF EXCHANGE RATES</v>
      </c>
      <c r="M70" s="305">
        <f>'Cash Flow Statement'!C40</f>
        <v>0</v>
      </c>
      <c r="N70" s="345">
        <f>'Cash Flow Statement'!E40</f>
        <v>-410</v>
      </c>
      <c r="O70" s="345">
        <f>'Cash Flow Statement'!G40</f>
        <v>189</v>
      </c>
      <c r="P70" s="345">
        <f>'Cash Flow Statement'!I40</f>
        <v>-240</v>
      </c>
      <c r="Q70" s="345">
        <f>'Cash Flow Statement'!K40</f>
        <v>-70</v>
      </c>
      <c r="R70" s="346">
        <f>'Cash Flow Statement'!M40</f>
        <v>346</v>
      </c>
    </row>
    <row r="71" spans="12:18" x14ac:dyDescent="0.2">
      <c r="L71" s="344" t="str">
        <f>'Cash Flow Statement'!B41</f>
        <v>TOTAL V - IMPACT OF ASSETS HELD FOR SALE</v>
      </c>
      <c r="M71" s="305">
        <f>'Cash Flow Statement'!C41</f>
        <v>0</v>
      </c>
      <c r="N71" s="345" t="str">
        <f>'Cash Flow Statement'!E41</f>
        <v>-</v>
      </c>
      <c r="O71" s="345" t="str">
        <f>'Cash Flow Statement'!G41</f>
        <v>-</v>
      </c>
      <c r="P71" s="345">
        <f>'Cash Flow Statement'!I41</f>
        <v>-4</v>
      </c>
      <c r="Q71" s="345">
        <f>'Cash Flow Statement'!K41</f>
        <v>-20</v>
      </c>
      <c r="R71" s="346" t="str">
        <f>'Cash Flow Statement'!M41</f>
        <v>-</v>
      </c>
    </row>
    <row r="72" spans="12:18" ht="16" thickBot="1" x14ac:dyDescent="0.25">
      <c r="L72" s="349" t="str">
        <f>'Cash Flow Statement'!B42</f>
        <v>NET CHANGE IN CASH: I + II + III + IV + V</v>
      </c>
      <c r="M72" s="353">
        <f>'Cash Flow Statement'!C42</f>
        <v>0</v>
      </c>
      <c r="N72" s="351">
        <f>'Cash Flow Statement'!E42</f>
        <v>-2225</v>
      </c>
      <c r="O72" s="351">
        <f>'Cash Flow Statement'!G42</f>
        <v>2158</v>
      </c>
      <c r="P72" s="351">
        <f>'Cash Flow Statement'!I42</f>
        <v>792</v>
      </c>
      <c r="Q72" s="351">
        <f>'Cash Flow Statement'!K42</f>
        <v>1400</v>
      </c>
      <c r="R72" s="352">
        <f>'Cash Flow Statement'!M42</f>
        <v>-4299</v>
      </c>
    </row>
    <row r="73" spans="12:18" ht="16" thickTop="1" x14ac:dyDescent="0.2">
      <c r="L73" s="347" t="str">
        <f>'Cash Flow Statement'!B43</f>
        <v>Opening net cash</v>
      </c>
      <c r="M73" s="305">
        <f>'Cash Flow Statement'!C43</f>
        <v>0</v>
      </c>
      <c r="N73" s="305">
        <f>'Cash Flow Statement'!E43</f>
        <v>6812</v>
      </c>
      <c r="O73" s="305">
        <f>'Cash Flow Statement'!G43</f>
        <v>4654</v>
      </c>
      <c r="P73" s="305">
        <f>'Cash Flow Statement'!I43</f>
        <v>3863</v>
      </c>
      <c r="Q73" s="305">
        <f>'Cash Flow Statement'!K43</f>
        <v>2463</v>
      </c>
      <c r="R73" s="348">
        <f>'Cash Flow Statement'!M43</f>
        <v>6762</v>
      </c>
    </row>
    <row r="74" spans="12:18" x14ac:dyDescent="0.2">
      <c r="L74" s="347" t="str">
        <f>'Cash Flow Statement'!B44</f>
        <v>Change in cash</v>
      </c>
      <c r="M74" s="305">
        <f>'Cash Flow Statement'!C44</f>
        <v>0</v>
      </c>
      <c r="N74" s="305">
        <f>'Cash Flow Statement'!E44</f>
        <v>-2225</v>
      </c>
      <c r="O74" s="305">
        <f>'Cash Flow Statement'!G44</f>
        <v>2158</v>
      </c>
      <c r="P74" s="305">
        <f>'Cash Flow Statement'!I44</f>
        <v>792</v>
      </c>
      <c r="Q74" s="305">
        <f>'Cash Flow Statement'!K44</f>
        <v>1400</v>
      </c>
      <c r="R74" s="348">
        <f>'Cash Flow Statement'!M44</f>
        <v>-4299</v>
      </c>
    </row>
    <row r="75" spans="12:18" ht="16" thickBot="1" x14ac:dyDescent="0.25">
      <c r="L75" s="349" t="str">
        <f>'Cash Flow Statement'!B45</f>
        <v>CLOSING NET CASH</v>
      </c>
      <c r="M75" s="353">
        <f>'Cash Flow Statement'!C45</f>
        <v>0</v>
      </c>
      <c r="N75" s="351">
        <f>'Cash Flow Statement'!E45</f>
        <v>4587</v>
      </c>
      <c r="O75" s="351">
        <f>'Cash Flow Statement'!G45</f>
        <v>6812</v>
      </c>
      <c r="P75" s="351">
        <f>'Cash Flow Statement'!I45</f>
        <v>4654</v>
      </c>
      <c r="Q75" s="351">
        <f>'Cash Flow Statement'!K45</f>
        <v>3863</v>
      </c>
      <c r="R75" s="352">
        <f>'Cash Flow Statement'!M45</f>
        <v>2463</v>
      </c>
    </row>
    <row r="76" spans="12:18" ht="16" thickTop="1" x14ac:dyDescent="0.2"/>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Balance Sheet</vt:lpstr>
      <vt:lpstr>Income Statement</vt:lpstr>
      <vt:lpstr>Cash Flow Statement</vt:lpstr>
      <vt:lpstr>Ratios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 LOOZE Grégory</dc:creator>
  <cp:keywords/>
  <dc:description/>
  <cp:lastModifiedBy>EL ZEIN Issa</cp:lastModifiedBy>
  <cp:revision/>
  <dcterms:created xsi:type="dcterms:W3CDTF">2026-02-16T16:33:40Z</dcterms:created>
  <dcterms:modified xsi:type="dcterms:W3CDTF">2026-04-16T16:41:23Z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0x010100015EB90C6EEA6D4F81650B91DDD8307A</vt:lpwstr>
  </property>
</Properties>
</file>